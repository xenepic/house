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前提入力" state="visible" r:id="rId4"/>
    <sheet sheetId="2" name="ローン返済表" state="visible" r:id="rId5"/>
    <sheet sheetId="3" name="年次集計" state="visible" r:id="rId6"/>
    <sheet sheetId="4" name="売却精算" state="visible" r:id="rId7"/>
    <sheet sheetId="5" name="実質家賃結果" state="visible" r:id="rId8"/>
    <sheet sheetId="6" name="シナリオ比較" state="visible" r:id="rId9"/>
  </sheets>
  <definedNames>
    <definedName name="Price">'前提入力'!$B$3</definedName>
    <definedName name="DownPayment">'前提入力'!$B$4</definedName>
    <definedName name="LoanAmount">'前提入力'!$B$5</definedName>
    <definedName name="InterestRate">'前提入力'!$B$6</definedName>
    <definedName name="LoanYears">'前提入力'!$B$7</definedName>
    <definedName name="BonusFlag">'前提入力'!$B$8</definedName>
    <definedName name="BonusAmount">'前提入力'!$B$9</definedName>
    <definedName name="PurchaseCost">'前提入力'!$B$10</definedName>
    <definedName name="MgmtFee">'前提入力'!$B$11</definedName>
    <definedName name="ReserveFee">'前提入力'!$B$12</definedName>
    <definedName name="ParkingFee">'前提入力'!$B$13</definedName>
    <definedName name="PropertyTax">'前提入力'!$B$14</definedName>
    <definedName name="FireInsurance">'前提入力'!$B$15</definedName>
    <definedName name="OtherMaintenance">'前提入力'!$B$16</definedName>
    <definedName name="LoanDeduction">'前提入力'!$B$17</definedName>
    <definedName name="HoldYears">'前提入力'!$B$18</definedName>
    <definedName name="SalePrice">'前提入力'!$B$19</definedName>
    <definedName name="SaleFeeRate">'前提入力'!$B$20</definedName>
    <definedName name="SaleOtherCost">'前提入力'!$B$21</definedName>
    <definedName name="MovingCost">'前提入力'!$B$22</definedName>
    <definedName name="CurrentRent">'前提入力'!$B$23</definedName>
  </definedNames>
  <calcPr calcId="171027"/>
</workbook>
</file>

<file path=xl/sharedStrings.xml><?xml version="1.0" encoding="utf-8"?>
<sst xmlns="http://schemas.openxmlformats.org/spreadsheetml/2006/main" count="144" uniqueCount="117">
  <si>
    <t>前提入力（パラメータ設定シート）</t>
  </si>
  <si>
    <t>項目</t>
  </si>
  <si>
    <t>値</t>
  </si>
  <si>
    <t>単位</t>
  </si>
  <si>
    <t>説明</t>
  </si>
  <si>
    <t>物件価格</t>
  </si>
  <si>
    <t>円</t>
  </si>
  <si>
    <t>購入する住宅の価格</t>
  </si>
  <si>
    <t>頭金</t>
  </si>
  <si>
    <t>購入時に現金で支払う頭金</t>
  </si>
  <si>
    <t>借入額</t>
  </si>
  <si>
    <t>原則「物件価格-頭金」で自動計算。必要なら直接金額を上書き入力可</t>
  </si>
  <si>
    <t>ローン金利（年率）</t>
  </si>
  <si>
    <t>%</t>
  </si>
  <si>
    <t>住宅ローンの年利（変動・固定の代表値）</t>
  </si>
  <si>
    <t>返済期間</t>
  </si>
  <si>
    <t>年</t>
  </si>
  <si>
    <t>ローンの返済期間</t>
  </si>
  <si>
    <t>ボーナス返済の有無</t>
  </si>
  <si>
    <t>なし</t>
  </si>
  <si>
    <t>-</t>
  </si>
  <si>
    <t>"あり"または"なし"を選択</t>
  </si>
  <si>
    <t>ボーナス返済額（1回あたり）</t>
  </si>
  <si>
    <t>ボーナス返済を行う月（6か月・12か月目等）に上乗せする金額</t>
  </si>
  <si>
    <t>購入時諸費用</t>
  </si>
  <si>
    <t>仲介手数料・登記費用・ローン手数料等の購入時費用合計</t>
  </si>
  <si>
    <t>管理費（月額）</t>
  </si>
  <si>
    <t>マンション管理費等（戸建ては0でよい）</t>
  </si>
  <si>
    <t>修繕積立金（月額）</t>
  </si>
  <si>
    <t>修繕積立金（戸建ては想定額を入力）</t>
  </si>
  <si>
    <t>駐車場代（月額）</t>
  </si>
  <si>
    <t>駐車場を別途契約する場合の月額</t>
  </si>
  <si>
    <t>固定資産税（年額）</t>
  </si>
  <si>
    <t>固定資産税・都市計画税の年額目安</t>
  </si>
  <si>
    <t>火災保険料（年額）</t>
  </si>
  <si>
    <t>火災保険・地震保険の年額</t>
  </si>
  <si>
    <t>その他維持費（年額）</t>
  </si>
  <si>
    <t>リフォーム・設備更新等の積立目安</t>
  </si>
  <si>
    <t>住宅ローン控除額（年額）</t>
  </si>
  <si>
    <t>簡易計算：控除を受けられる年に一律で適用する金額</t>
  </si>
  <si>
    <t>保有年数</t>
  </si>
  <si>
    <t>購入後、売却までの保有年数</t>
  </si>
  <si>
    <t>売却予定価格</t>
  </si>
  <si>
    <t>保有年数後に売却できると想定する価格</t>
  </si>
  <si>
    <t>売却時仲介手数料率</t>
  </si>
  <si>
    <t>売却時に仲介会社へ支払う手数料の率（目安3%+消費税相当含む簡易値）</t>
  </si>
  <si>
    <t>売却時その他費用</t>
  </si>
  <si>
    <t>抵当権抹消費用・登記費用・ハウスクリーニング等</t>
  </si>
  <si>
    <t>引越し費用</t>
  </si>
  <si>
    <t>売却・転居に伴う引越し費用</t>
  </si>
  <si>
    <t>賃貸比較用の現在家賃（月額）</t>
  </si>
  <si>
    <t>購入せず賃貸を続けた場合に支払うであろう月額家賃</t>
  </si>
  <si>
    <t>ローン返済表（月次）</t>
  </si>
  <si>
    <t>月数</t>
  </si>
  <si>
    <t>年数</t>
  </si>
  <si>
    <t>期首ローン残高</t>
  </si>
  <si>
    <t>月返済額</t>
  </si>
  <si>
    <t>利息</t>
  </si>
  <si>
    <t>元本返済額</t>
  </si>
  <si>
    <t>ボーナス返済額</t>
  </si>
  <si>
    <t>期末ローン残高</t>
  </si>
  <si>
    <t>累計返済額</t>
  </si>
  <si>
    <t>累計利息</t>
  </si>
  <si>
    <t>累計元本返済額</t>
  </si>
  <si>
    <t>年次集計（年単位の支出まとめ）</t>
  </si>
  <si>
    <t>ローン返済額</t>
  </si>
  <si>
    <t>うち利息</t>
  </si>
  <si>
    <t>うち元本返済</t>
  </si>
  <si>
    <t>管理費</t>
  </si>
  <si>
    <t>修繕積立金</t>
  </si>
  <si>
    <t>駐車場代</t>
  </si>
  <si>
    <t>固定資産税</t>
  </si>
  <si>
    <t>火災保険料</t>
  </si>
  <si>
    <t>その他維持費</t>
  </si>
  <si>
    <t>住宅ローン控除</t>
  </si>
  <si>
    <t>年間実質支出</t>
  </si>
  <si>
    <t>累計実質支出</t>
  </si>
  <si>
    <t>年末ローン残高</t>
  </si>
  <si>
    <t>売却精算（保有年数後に売却した場合）</t>
  </si>
  <si>
    <t>金額</t>
  </si>
  <si>
    <t>売却価格</t>
  </si>
  <si>
    <t>前提入力シートの売却予定価格</t>
  </si>
  <si>
    <t>売却時仲介手数料</t>
  </si>
  <si>
    <t>売却価格×売却時仲介手数料率</t>
  </si>
  <si>
    <t>抵当権抹消・登記等の費用</t>
  </si>
  <si>
    <t>売却時ローン残債</t>
  </si>
  <si>
    <t>保有年数×12か月時点のローン残高（ローン返済表より参照）</t>
  </si>
  <si>
    <t>売却後手残り</t>
  </si>
  <si>
    <t>売却価格-仲介手数料-その他費用-ローン残債</t>
  </si>
  <si>
    <t>売却損益の参考値</t>
  </si>
  <si>
    <t>売却価格-購入時の物件価格（簡易参考値。税金等は考慮せず）</t>
  </si>
  <si>
    <t>実質家賃結果（最終まとめ）</t>
  </si>
  <si>
    <t>購入時支出</t>
  </si>
  <si>
    <t>頭金+購入時諸費用</t>
  </si>
  <si>
    <t>保有期間中の総支出</t>
  </si>
  <si>
    <t>保有年数までの年間実質支出（ローン返済・維持費-控除）の合計</t>
  </si>
  <si>
    <t>売却精算シートより参照</t>
  </si>
  <si>
    <t>前提入力シートより参照</t>
  </si>
  <si>
    <t>実質負担額</t>
  </si>
  <si>
    <t>購入時支出+保有期間中の総支出-売却後手残り+引越し費用</t>
  </si>
  <si>
    <t>保有月数</t>
  </si>
  <si>
    <t>保有年数×12</t>
  </si>
  <si>
    <t>実質月額家賃</t>
  </si>
  <si>
    <t>実質負担額÷保有月数</t>
  </si>
  <si>
    <t>賃貸継続時の総支出</t>
  </si>
  <si>
    <t>現在家賃×保有月数</t>
  </si>
  <si>
    <t>賃貸との差額</t>
  </si>
  <si>
    <t>実質負担額-賃貸継続時の総支出（マイナスなら購入の方が有利）</t>
  </si>
  <si>
    <t>シナリオ比較（保有年数×売却価格 → 実質月額家賃）</t>
  </si>
  <si>
    <t>※ このシートは比較のための簡易計算です。ボーナス返済は考慮せず、通常の元利均等返済（PMT）の計算式のみで残高・支払額を再計算しています。</t>
  </si>
  <si>
    <t>保有年数 ＼ 売却価格（購入価格に対する比率）</t>
  </si>
  <si>
    <t>【内部計算用ヘルパー表（保有年数ごとの固定部分）】</t>
  </si>
  <si>
    <t>月額返済(M)</t>
  </si>
  <si>
    <t>保有月数(n)</t>
  </si>
  <si>
    <t>想定残高(Balance)</t>
  </si>
  <si>
    <t>保有総支出</t>
  </si>
  <si>
    <t>fixed_part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</si>
</sst>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&quot;年&quot;"/>
    <numFmt numFmtId="166" formatCode="0&quot;か月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color rgb="FF595959"/>
      <sz val="10"/>
    </font>
    <font>
      <i/>
    </font>
    <font>
      <b/>
    </font>
    <font>
      <i/>
      <color rgb="FF595959"/>
      <sz val="10"/>
    </font>
    <font>
      <b/>
      <i/>
      <color rgb="FF595959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3" borderId="1" xfId="0" applyNumberFormat="1" applyFill="1" applyBorder="1"/>
    <xf numFmtId="0" fontId="3" fillId="0" borderId="1" xfId="0" applyFont="1" applyBorder="1"/>
    <xf numFmtId="3" fontId="4" fillId="3" borderId="1" xfId="0" applyNumberFormat="1" applyFon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49" fontId="0" fillId="3" borderId="1" xfId="0" applyNumberFormat="1" applyFill="1" applyBorder="1"/>
    <xf numFmtId="3" fontId="0" fillId="0" borderId="0" xfId="0" applyNumberFormat="1"/>
    <xf numFmtId="3" fontId="5" fillId="0" borderId="0" xfId="0" applyNumberFormat="1" applyFont="1"/>
    <xf numFmtId="3" fontId="0" fillId="0" borderId="1" xfId="0" applyNumberFormat="1" applyBorder="1"/>
    <xf numFmtId="3" fontId="5" fillId="4" borderId="1" xfId="0" applyNumberFormat="1" applyFont="1" applyFill="1" applyBorder="1"/>
    <xf numFmtId="166" fontId="0" fillId="0" borderId="1" xfId="0" applyNumberFormat="1" applyBorder="1"/>
    <xf numFmtId="0" fontId="6" fillId="0" borderId="0" xfId="0" applyFont="1" applyAlignment="1">
      <alignment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7" fillId="0" borderId="0" xfId="0" applyFont="1"/>
  </cellXfs>
  <cellStyles count="1">
    <cellStyle name="Normal" xfId="0" builtinId="0"/>
  </cellStyles>
  <dxfs count="1">
    <dxf>
      <font>
        <b/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</sheetPr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46" customWidth="1"/>
  </cols>
  <sheetData>
    <row r="1" ht="24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4">
        <v>50000000</v>
      </c>
      <c r="C3" s="3" t="s">
        <v>6</v>
      </c>
      <c r="D3" s="5" t="s">
        <v>7</v>
      </c>
    </row>
    <row r="4" spans="1:4" x14ac:dyDescent="0.25">
      <c r="A4" s="3" t="s">
        <v>8</v>
      </c>
      <c r="B4" s="4">
        <v>5000000</v>
      </c>
      <c r="C4" s="3" t="s">
        <v>6</v>
      </c>
      <c r="D4" s="5" t="s">
        <v>9</v>
      </c>
    </row>
    <row r="5" spans="1:4" x14ac:dyDescent="0.25">
      <c r="A5" s="3" t="s">
        <v>10</v>
      </c>
      <c r="B5" s="6">
        <f>B3-B4</f>
      </c>
      <c r="C5" s="3" t="s">
        <v>6</v>
      </c>
      <c r="D5" s="5" t="s">
        <v>11</v>
      </c>
    </row>
    <row r="6" spans="1:4" x14ac:dyDescent="0.25">
      <c r="A6" s="3" t="s">
        <v>12</v>
      </c>
      <c r="B6" s="7">
        <v>0.007</v>
      </c>
      <c r="C6" s="3" t="s">
        <v>13</v>
      </c>
      <c r="D6" s="5" t="s">
        <v>14</v>
      </c>
    </row>
    <row r="7" spans="1:4" x14ac:dyDescent="0.25">
      <c r="A7" s="3" t="s">
        <v>15</v>
      </c>
      <c r="B7" s="8">
        <v>35</v>
      </c>
      <c r="C7" s="3" t="s">
        <v>16</v>
      </c>
      <c r="D7" s="5" t="s">
        <v>17</v>
      </c>
    </row>
    <row r="8" spans="1:4" x14ac:dyDescent="0.25">
      <c r="A8" s="3" t="s">
        <v>18</v>
      </c>
      <c r="B8" s="9" t="s">
        <v>19</v>
      </c>
      <c r="C8" s="3" t="s">
        <v>20</v>
      </c>
      <c r="D8" s="5" t="s">
        <v>21</v>
      </c>
    </row>
    <row r="9" spans="1:4" x14ac:dyDescent="0.25">
      <c r="A9" s="3" t="s">
        <v>22</v>
      </c>
      <c r="B9" s="4">
        <v>100000</v>
      </c>
      <c r="C9" s="3" t="s">
        <v>6</v>
      </c>
      <c r="D9" s="5" t="s">
        <v>23</v>
      </c>
    </row>
    <row r="10" spans="1:4" x14ac:dyDescent="0.25">
      <c r="A10" s="3" t="s">
        <v>24</v>
      </c>
      <c r="B10" s="4">
        <v>2000000</v>
      </c>
      <c r="C10" s="3" t="s">
        <v>6</v>
      </c>
      <c r="D10" s="5" t="s">
        <v>25</v>
      </c>
    </row>
    <row r="11" spans="1:4" x14ac:dyDescent="0.25">
      <c r="A11" s="3" t="s">
        <v>26</v>
      </c>
      <c r="B11" s="4">
        <v>15000</v>
      </c>
      <c r="C11" s="3" t="s">
        <v>6</v>
      </c>
      <c r="D11" s="5" t="s">
        <v>27</v>
      </c>
    </row>
    <row r="12" spans="1:4" x14ac:dyDescent="0.25">
      <c r="A12" s="3" t="s">
        <v>28</v>
      </c>
      <c r="B12" s="4">
        <v>10000</v>
      </c>
      <c r="C12" s="3" t="s">
        <v>6</v>
      </c>
      <c r="D12" s="5" t="s">
        <v>29</v>
      </c>
    </row>
    <row r="13" spans="1:4" x14ac:dyDescent="0.25">
      <c r="A13" s="3" t="s">
        <v>30</v>
      </c>
      <c r="B13" s="4">
        <v>0</v>
      </c>
      <c r="C13" s="3" t="s">
        <v>6</v>
      </c>
      <c r="D13" s="5" t="s">
        <v>31</v>
      </c>
    </row>
    <row r="14" spans="1:4" x14ac:dyDescent="0.25">
      <c r="A14" s="3" t="s">
        <v>32</v>
      </c>
      <c r="B14" s="4">
        <v>150000</v>
      </c>
      <c r="C14" s="3" t="s">
        <v>6</v>
      </c>
      <c r="D14" s="5" t="s">
        <v>33</v>
      </c>
    </row>
    <row r="15" spans="1:4" x14ac:dyDescent="0.25">
      <c r="A15" s="3" t="s">
        <v>34</v>
      </c>
      <c r="B15" s="4">
        <v>20000</v>
      </c>
      <c r="C15" s="3" t="s">
        <v>6</v>
      </c>
      <c r="D15" s="5" t="s">
        <v>35</v>
      </c>
    </row>
    <row r="16" spans="1:4" x14ac:dyDescent="0.25">
      <c r="A16" s="3" t="s">
        <v>36</v>
      </c>
      <c r="B16" s="4">
        <v>30000</v>
      </c>
      <c r="C16" s="3" t="s">
        <v>6</v>
      </c>
      <c r="D16" s="5" t="s">
        <v>37</v>
      </c>
    </row>
    <row r="17" spans="1:4" x14ac:dyDescent="0.25">
      <c r="A17" s="3" t="s">
        <v>38</v>
      </c>
      <c r="B17" s="4">
        <v>200000</v>
      </c>
      <c r="C17" s="3" t="s">
        <v>6</v>
      </c>
      <c r="D17" s="5" t="s">
        <v>39</v>
      </c>
    </row>
    <row r="18" spans="1:4" x14ac:dyDescent="0.25">
      <c r="A18" s="3" t="s">
        <v>40</v>
      </c>
      <c r="B18" s="8">
        <v>10</v>
      </c>
      <c r="C18" s="3" t="s">
        <v>16</v>
      </c>
      <c r="D18" s="5" t="s">
        <v>41</v>
      </c>
    </row>
    <row r="19" spans="1:4" x14ac:dyDescent="0.25">
      <c r="A19" s="3" t="s">
        <v>42</v>
      </c>
      <c r="B19" s="4">
        <v>45000000</v>
      </c>
      <c r="C19" s="3" t="s">
        <v>6</v>
      </c>
      <c r="D19" s="5" t="s">
        <v>43</v>
      </c>
    </row>
    <row r="20" spans="1:4" x14ac:dyDescent="0.25">
      <c r="A20" s="3" t="s">
        <v>44</v>
      </c>
      <c r="B20" s="7">
        <v>0.03</v>
      </c>
      <c r="C20" s="3" t="s">
        <v>13</v>
      </c>
      <c r="D20" s="5" t="s">
        <v>45</v>
      </c>
    </row>
    <row r="21" spans="1:4" x14ac:dyDescent="0.25">
      <c r="A21" s="3" t="s">
        <v>46</v>
      </c>
      <c r="B21" s="4">
        <v>300000</v>
      </c>
      <c r="C21" s="3" t="s">
        <v>6</v>
      </c>
      <c r="D21" s="5" t="s">
        <v>47</v>
      </c>
    </row>
    <row r="22" spans="1:4" x14ac:dyDescent="0.25">
      <c r="A22" s="3" t="s">
        <v>48</v>
      </c>
      <c r="B22" s="4">
        <v>200000</v>
      </c>
      <c r="C22" s="3" t="s">
        <v>6</v>
      </c>
      <c r="D22" s="5" t="s">
        <v>49</v>
      </c>
    </row>
    <row r="23" spans="1:4" x14ac:dyDescent="0.25">
      <c r="A23" s="3" t="s">
        <v>50</v>
      </c>
      <c r="B23" s="4">
        <v>120000</v>
      </c>
      <c r="C23" s="3" t="s">
        <v>6</v>
      </c>
      <c r="D23" s="5" t="s">
        <v>51</v>
      </c>
    </row>
  </sheetData>
  <mergeCells count="1">
    <mergeCell ref="A1:D1"/>
  </mergeCells>
  <dataValidations count="1">
    <dataValidation type="list" sqref="B8">
      <formula1>"あり,なし"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42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6" customWidth="1"/>
    <col min="4" max="4" width="14" customWidth="1"/>
    <col min="5" max="5" width="13" customWidth="1"/>
    <col min="6" max="7" width="14" customWidth="1"/>
    <col min="8" max="9" width="16" customWidth="1"/>
    <col min="10" max="10" width="14" customWidth="1"/>
    <col min="11" max="11" width="16" customWidth="1"/>
  </cols>
  <sheetData>
    <row r="1" ht="24" customHeight="1" spans="1:11" x14ac:dyDescent="0.25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1" x14ac:dyDescent="0.25">
      <c r="A3">
        <v>1</v>
      </c>
      <c r="B3">
        <f>INT((A3-1)/12)+1</f>
      </c>
      <c r="C3" s="10">
        <f>LoanAmount</f>
      </c>
      <c r="D3" s="10">
        <f>IF(C3&lt;=0,0,MIN(-PMT(InterestRate/12,LoanYears*12,LoanAmount),C3+E3))</f>
      </c>
      <c r="E3" s="10">
        <f>IF(C3&gt;0,C3*InterestRate/12,0)</f>
      </c>
      <c r="F3" s="10">
        <f>D3-E3</f>
      </c>
      <c r="G3" s="10">
        <f>IF(AND(BonusFlag="あり",MOD(A3,6)=0,C3-F3&gt;0),MIN(BonusAmount,C3-F3),0)</f>
      </c>
      <c r="H3" s="10">
        <f>MAX(C3-F3-G3,0)</f>
      </c>
      <c r="I3" s="10">
        <f>D3+G3</f>
      </c>
      <c r="J3" s="10">
        <f>E3</f>
      </c>
      <c r="K3" s="10">
        <f>F3+G3</f>
      </c>
    </row>
    <row r="4" spans="1:11" x14ac:dyDescent="0.25">
      <c r="A4">
        <v>2</v>
      </c>
      <c r="B4">
        <f>INT((A4-1)/12)+1</f>
      </c>
      <c r="C4" s="10">
        <f>H3</f>
      </c>
      <c r="D4" s="10">
        <f>IF(C4&lt;=0,0,MIN(-PMT(InterestRate/12,LoanYears*12,LoanAmount),C4+E4))</f>
      </c>
      <c r="E4" s="10">
        <f>IF(C4&gt;0,C4*InterestRate/12,0)</f>
      </c>
      <c r="F4" s="10">
        <f>D4-E4</f>
      </c>
      <c r="G4" s="10">
        <f>IF(AND(BonusFlag="あり",MOD(A4,6)=0,C4-F4&gt;0),MIN(BonusAmount,C4-F4),0)</f>
      </c>
      <c r="H4" s="10">
        <f>MAX(C4-F4-G4,0)</f>
      </c>
      <c r="I4" s="10">
        <f>I3+D4+G4</f>
      </c>
      <c r="J4" s="10">
        <f>J3+E4</f>
      </c>
      <c r="K4" s="10">
        <f>K3+F4+G4</f>
      </c>
    </row>
    <row r="5" spans="1:11" x14ac:dyDescent="0.25">
      <c r="A5">
        <v>3</v>
      </c>
      <c r="B5">
        <f>INT((A5-1)/12)+1</f>
      </c>
      <c r="C5" s="10">
        <f>H4</f>
      </c>
      <c r="D5" s="10">
        <f>IF(C5&lt;=0,0,MIN(-PMT(InterestRate/12,LoanYears*12,LoanAmount),C5+E5))</f>
      </c>
      <c r="E5" s="10">
        <f>IF(C5&gt;0,C5*InterestRate/12,0)</f>
      </c>
      <c r="F5" s="10">
        <f>D5-E5</f>
      </c>
      <c r="G5" s="10">
        <f>IF(AND(BonusFlag="あり",MOD(A5,6)=0,C5-F5&gt;0),MIN(BonusAmount,C5-F5),0)</f>
      </c>
      <c r="H5" s="10">
        <f>MAX(C5-F5-G5,0)</f>
      </c>
      <c r="I5" s="10">
        <f>I4+D5+G5</f>
      </c>
      <c r="J5" s="10">
        <f>J4+E5</f>
      </c>
      <c r="K5" s="10">
        <f>K4+F5+G5</f>
      </c>
    </row>
    <row r="6" spans="1:11" x14ac:dyDescent="0.25">
      <c r="A6">
        <v>4</v>
      </c>
      <c r="B6">
        <f>INT((A6-1)/12)+1</f>
      </c>
      <c r="C6" s="10">
        <f>H5</f>
      </c>
      <c r="D6" s="10">
        <f>IF(C6&lt;=0,0,MIN(-PMT(InterestRate/12,LoanYears*12,LoanAmount),C6+E6))</f>
      </c>
      <c r="E6" s="10">
        <f>IF(C6&gt;0,C6*InterestRate/12,0)</f>
      </c>
      <c r="F6" s="10">
        <f>D6-E6</f>
      </c>
      <c r="G6" s="10">
        <f>IF(AND(BonusFlag="あり",MOD(A6,6)=0,C6-F6&gt;0),MIN(BonusAmount,C6-F6),0)</f>
      </c>
      <c r="H6" s="10">
        <f>MAX(C6-F6-G6,0)</f>
      </c>
      <c r="I6" s="10">
        <f>I5+D6+G6</f>
      </c>
      <c r="J6" s="10">
        <f>J5+E6</f>
      </c>
      <c r="K6" s="10">
        <f>K5+F6+G6</f>
      </c>
    </row>
    <row r="7" spans="1:11" x14ac:dyDescent="0.25">
      <c r="A7">
        <v>5</v>
      </c>
      <c r="B7">
        <f>INT((A7-1)/12)+1</f>
      </c>
      <c r="C7" s="10">
        <f>H6</f>
      </c>
      <c r="D7" s="10">
        <f>IF(C7&lt;=0,0,MIN(-PMT(InterestRate/12,LoanYears*12,LoanAmount),C7+E7))</f>
      </c>
      <c r="E7" s="10">
        <f>IF(C7&gt;0,C7*InterestRate/12,0)</f>
      </c>
      <c r="F7" s="10">
        <f>D7-E7</f>
      </c>
      <c r="G7" s="10">
        <f>IF(AND(BonusFlag="あり",MOD(A7,6)=0,C7-F7&gt;0),MIN(BonusAmount,C7-F7),0)</f>
      </c>
      <c r="H7" s="10">
        <f>MAX(C7-F7-G7,0)</f>
      </c>
      <c r="I7" s="10">
        <f>I6+D7+G7</f>
      </c>
      <c r="J7" s="10">
        <f>J6+E7</f>
      </c>
      <c r="K7" s="10">
        <f>K6+F7+G7</f>
      </c>
    </row>
    <row r="8" spans="1:11" x14ac:dyDescent="0.25">
      <c r="A8">
        <v>6</v>
      </c>
      <c r="B8">
        <f>INT((A8-1)/12)+1</f>
      </c>
      <c r="C8" s="10">
        <f>H7</f>
      </c>
      <c r="D8" s="10">
        <f>IF(C8&lt;=0,0,MIN(-PMT(InterestRate/12,LoanYears*12,LoanAmount),C8+E8))</f>
      </c>
      <c r="E8" s="10">
        <f>IF(C8&gt;0,C8*InterestRate/12,0)</f>
      </c>
      <c r="F8" s="10">
        <f>D8-E8</f>
      </c>
      <c r="G8" s="10">
        <f>IF(AND(BonusFlag="あり",MOD(A8,6)=0,C8-F8&gt;0),MIN(BonusAmount,C8-F8),0)</f>
      </c>
      <c r="H8" s="10">
        <f>MAX(C8-F8-G8,0)</f>
      </c>
      <c r="I8" s="10">
        <f>I7+D8+G8</f>
      </c>
      <c r="J8" s="10">
        <f>J7+E8</f>
      </c>
      <c r="K8" s="10">
        <f>K7+F8+G8</f>
      </c>
    </row>
    <row r="9" spans="1:11" x14ac:dyDescent="0.25">
      <c r="A9">
        <v>7</v>
      </c>
      <c r="B9">
        <f>INT((A9-1)/12)+1</f>
      </c>
      <c r="C9" s="10">
        <f>H8</f>
      </c>
      <c r="D9" s="10">
        <f>IF(C9&lt;=0,0,MIN(-PMT(InterestRate/12,LoanYears*12,LoanAmount),C9+E9))</f>
      </c>
      <c r="E9" s="10">
        <f>IF(C9&gt;0,C9*InterestRate/12,0)</f>
      </c>
      <c r="F9" s="10">
        <f>D9-E9</f>
      </c>
      <c r="G9" s="10">
        <f>IF(AND(BonusFlag="あり",MOD(A9,6)=0,C9-F9&gt;0),MIN(BonusAmount,C9-F9),0)</f>
      </c>
      <c r="H9" s="10">
        <f>MAX(C9-F9-G9,0)</f>
      </c>
      <c r="I9" s="10">
        <f>I8+D9+G9</f>
      </c>
      <c r="J9" s="10">
        <f>J8+E9</f>
      </c>
      <c r="K9" s="10">
        <f>K8+F9+G9</f>
      </c>
    </row>
    <row r="10" spans="1:11" x14ac:dyDescent="0.25">
      <c r="A10">
        <v>8</v>
      </c>
      <c r="B10">
        <f>INT((A10-1)/12)+1</f>
      </c>
      <c r="C10" s="10">
        <f>H9</f>
      </c>
      <c r="D10" s="10">
        <f>IF(C10&lt;=0,0,MIN(-PMT(InterestRate/12,LoanYears*12,LoanAmount),C10+E10))</f>
      </c>
      <c r="E10" s="10">
        <f>IF(C10&gt;0,C10*InterestRate/12,0)</f>
      </c>
      <c r="F10" s="10">
        <f>D10-E10</f>
      </c>
      <c r="G10" s="10">
        <f>IF(AND(BonusFlag="あり",MOD(A10,6)=0,C10-F10&gt;0),MIN(BonusAmount,C10-F10),0)</f>
      </c>
      <c r="H10" s="10">
        <f>MAX(C10-F10-G10,0)</f>
      </c>
      <c r="I10" s="10">
        <f>I9+D10+G10</f>
      </c>
      <c r="J10" s="10">
        <f>J9+E10</f>
      </c>
      <c r="K10" s="10">
        <f>K9+F10+G10</f>
      </c>
    </row>
    <row r="11" spans="1:11" x14ac:dyDescent="0.25">
      <c r="A11">
        <v>9</v>
      </c>
      <c r="B11">
        <f>INT((A11-1)/12)+1</f>
      </c>
      <c r="C11" s="10">
        <f>H10</f>
      </c>
      <c r="D11" s="10">
        <f>IF(C11&lt;=0,0,MIN(-PMT(InterestRate/12,LoanYears*12,LoanAmount),C11+E11))</f>
      </c>
      <c r="E11" s="10">
        <f>IF(C11&gt;0,C11*InterestRate/12,0)</f>
      </c>
      <c r="F11" s="10">
        <f>D11-E11</f>
      </c>
      <c r="G11" s="10">
        <f>IF(AND(BonusFlag="あり",MOD(A11,6)=0,C11-F11&gt;0),MIN(BonusAmount,C11-F11),0)</f>
      </c>
      <c r="H11" s="10">
        <f>MAX(C11-F11-G11,0)</f>
      </c>
      <c r="I11" s="10">
        <f>I10+D11+G11</f>
      </c>
      <c r="J11" s="10">
        <f>J10+E11</f>
      </c>
      <c r="K11" s="10">
        <f>K10+F11+G11</f>
      </c>
    </row>
    <row r="12" spans="1:11" x14ac:dyDescent="0.25">
      <c r="A12">
        <v>10</v>
      </c>
      <c r="B12">
        <f>INT((A12-1)/12)+1</f>
      </c>
      <c r="C12" s="10">
        <f>H11</f>
      </c>
      <c r="D12" s="10">
        <f>IF(C12&lt;=0,0,MIN(-PMT(InterestRate/12,LoanYears*12,LoanAmount),C12+E12))</f>
      </c>
      <c r="E12" s="10">
        <f>IF(C12&gt;0,C12*InterestRate/12,0)</f>
      </c>
      <c r="F12" s="10">
        <f>D12-E12</f>
      </c>
      <c r="G12" s="10">
        <f>IF(AND(BonusFlag="あり",MOD(A12,6)=0,C12-F12&gt;0),MIN(BonusAmount,C12-F12),0)</f>
      </c>
      <c r="H12" s="10">
        <f>MAX(C12-F12-G12,0)</f>
      </c>
      <c r="I12" s="10">
        <f>I11+D12+G12</f>
      </c>
      <c r="J12" s="10">
        <f>J11+E12</f>
      </c>
      <c r="K12" s="10">
        <f>K11+F12+G12</f>
      </c>
    </row>
    <row r="13" spans="1:11" x14ac:dyDescent="0.25">
      <c r="A13">
        <v>11</v>
      </c>
      <c r="B13">
        <f>INT((A13-1)/12)+1</f>
      </c>
      <c r="C13" s="10">
        <f>H12</f>
      </c>
      <c r="D13" s="10">
        <f>IF(C13&lt;=0,0,MIN(-PMT(InterestRate/12,LoanYears*12,LoanAmount),C13+E13))</f>
      </c>
      <c r="E13" s="10">
        <f>IF(C13&gt;0,C13*InterestRate/12,0)</f>
      </c>
      <c r="F13" s="10">
        <f>D13-E13</f>
      </c>
      <c r="G13" s="10">
        <f>IF(AND(BonusFlag="あり",MOD(A13,6)=0,C13-F13&gt;0),MIN(BonusAmount,C13-F13),0)</f>
      </c>
      <c r="H13" s="10">
        <f>MAX(C13-F13-G13,0)</f>
      </c>
      <c r="I13" s="10">
        <f>I12+D13+G13</f>
      </c>
      <c r="J13" s="10">
        <f>J12+E13</f>
      </c>
      <c r="K13" s="10">
        <f>K12+F13+G13</f>
      </c>
    </row>
    <row r="14" spans="1:11" x14ac:dyDescent="0.25">
      <c r="A14">
        <v>12</v>
      </c>
      <c r="B14">
        <f>INT((A14-1)/12)+1</f>
      </c>
      <c r="C14" s="10">
        <f>H13</f>
      </c>
      <c r="D14" s="10">
        <f>IF(C14&lt;=0,0,MIN(-PMT(InterestRate/12,LoanYears*12,LoanAmount),C14+E14))</f>
      </c>
      <c r="E14" s="10">
        <f>IF(C14&gt;0,C14*InterestRate/12,0)</f>
      </c>
      <c r="F14" s="10">
        <f>D14-E14</f>
      </c>
      <c r="G14" s="10">
        <f>IF(AND(BonusFlag="あり",MOD(A14,6)=0,C14-F14&gt;0),MIN(BonusAmount,C14-F14),0)</f>
      </c>
      <c r="H14" s="10">
        <f>MAX(C14-F14-G14,0)</f>
      </c>
      <c r="I14" s="10">
        <f>I13+D14+G14</f>
      </c>
      <c r="J14" s="10">
        <f>J13+E14</f>
      </c>
      <c r="K14" s="10">
        <f>K13+F14+G14</f>
      </c>
    </row>
    <row r="15" spans="1:11" x14ac:dyDescent="0.25">
      <c r="A15">
        <v>13</v>
      </c>
      <c r="B15">
        <f>INT((A15-1)/12)+1</f>
      </c>
      <c r="C15" s="10">
        <f>H14</f>
      </c>
      <c r="D15" s="10">
        <f>IF(C15&lt;=0,0,MIN(-PMT(InterestRate/12,LoanYears*12,LoanAmount),C15+E15))</f>
      </c>
      <c r="E15" s="10">
        <f>IF(C15&gt;0,C15*InterestRate/12,0)</f>
      </c>
      <c r="F15" s="10">
        <f>D15-E15</f>
      </c>
      <c r="G15" s="10">
        <f>IF(AND(BonusFlag="あり",MOD(A15,6)=0,C15-F15&gt;0),MIN(BonusAmount,C15-F15),0)</f>
      </c>
      <c r="H15" s="10">
        <f>MAX(C15-F15-G15,0)</f>
      </c>
      <c r="I15" s="10">
        <f>I14+D15+G15</f>
      </c>
      <c r="J15" s="10">
        <f>J14+E15</f>
      </c>
      <c r="K15" s="10">
        <f>K14+F15+G15</f>
      </c>
    </row>
    <row r="16" spans="1:11" x14ac:dyDescent="0.25">
      <c r="A16">
        <v>14</v>
      </c>
      <c r="B16">
        <f>INT((A16-1)/12)+1</f>
      </c>
      <c r="C16" s="10">
        <f>H15</f>
      </c>
      <c r="D16" s="10">
        <f>IF(C16&lt;=0,0,MIN(-PMT(InterestRate/12,LoanYears*12,LoanAmount),C16+E16))</f>
      </c>
      <c r="E16" s="10">
        <f>IF(C16&gt;0,C16*InterestRate/12,0)</f>
      </c>
      <c r="F16" s="10">
        <f>D16-E16</f>
      </c>
      <c r="G16" s="10">
        <f>IF(AND(BonusFlag="あり",MOD(A16,6)=0,C16-F16&gt;0),MIN(BonusAmount,C16-F16),0)</f>
      </c>
      <c r="H16" s="10">
        <f>MAX(C16-F16-G16,0)</f>
      </c>
      <c r="I16" s="10">
        <f>I15+D16+G16</f>
      </c>
      <c r="J16" s="10">
        <f>J15+E16</f>
      </c>
      <c r="K16" s="10">
        <f>K15+F16+G16</f>
      </c>
    </row>
    <row r="17" spans="1:11" x14ac:dyDescent="0.25">
      <c r="A17">
        <v>15</v>
      </c>
      <c r="B17">
        <f>INT((A17-1)/12)+1</f>
      </c>
      <c r="C17" s="10">
        <f>H16</f>
      </c>
      <c r="D17" s="10">
        <f>IF(C17&lt;=0,0,MIN(-PMT(InterestRate/12,LoanYears*12,LoanAmount),C17+E17))</f>
      </c>
      <c r="E17" s="10">
        <f>IF(C17&gt;0,C17*InterestRate/12,0)</f>
      </c>
      <c r="F17" s="10">
        <f>D17-E17</f>
      </c>
      <c r="G17" s="10">
        <f>IF(AND(BonusFlag="あり",MOD(A17,6)=0,C17-F17&gt;0),MIN(BonusAmount,C17-F17),0)</f>
      </c>
      <c r="H17" s="10">
        <f>MAX(C17-F17-G17,0)</f>
      </c>
      <c r="I17" s="10">
        <f>I16+D17+G17</f>
      </c>
      <c r="J17" s="10">
        <f>J16+E17</f>
      </c>
      <c r="K17" s="10">
        <f>K16+F17+G17</f>
      </c>
    </row>
    <row r="18" spans="1:11" x14ac:dyDescent="0.25">
      <c r="A18">
        <v>16</v>
      </c>
      <c r="B18">
        <f>INT((A18-1)/12)+1</f>
      </c>
      <c r="C18" s="10">
        <f>H17</f>
      </c>
      <c r="D18" s="10">
        <f>IF(C18&lt;=0,0,MIN(-PMT(InterestRate/12,LoanYears*12,LoanAmount),C18+E18))</f>
      </c>
      <c r="E18" s="10">
        <f>IF(C18&gt;0,C18*InterestRate/12,0)</f>
      </c>
      <c r="F18" s="10">
        <f>D18-E18</f>
      </c>
      <c r="G18" s="10">
        <f>IF(AND(BonusFlag="あり",MOD(A18,6)=0,C18-F18&gt;0),MIN(BonusAmount,C18-F18),0)</f>
      </c>
      <c r="H18" s="10">
        <f>MAX(C18-F18-G18,0)</f>
      </c>
      <c r="I18" s="10">
        <f>I17+D18+G18</f>
      </c>
      <c r="J18" s="10">
        <f>J17+E18</f>
      </c>
      <c r="K18" s="10">
        <f>K17+F18+G18</f>
      </c>
    </row>
    <row r="19" spans="1:11" x14ac:dyDescent="0.25">
      <c r="A19">
        <v>17</v>
      </c>
      <c r="B19">
        <f>INT((A19-1)/12)+1</f>
      </c>
      <c r="C19" s="10">
        <f>H18</f>
      </c>
      <c r="D19" s="10">
        <f>IF(C19&lt;=0,0,MIN(-PMT(InterestRate/12,LoanYears*12,LoanAmount),C19+E19))</f>
      </c>
      <c r="E19" s="10">
        <f>IF(C19&gt;0,C19*InterestRate/12,0)</f>
      </c>
      <c r="F19" s="10">
        <f>D19-E19</f>
      </c>
      <c r="G19" s="10">
        <f>IF(AND(BonusFlag="あり",MOD(A19,6)=0,C19-F19&gt;0),MIN(BonusAmount,C19-F19),0)</f>
      </c>
      <c r="H19" s="10">
        <f>MAX(C19-F19-G19,0)</f>
      </c>
      <c r="I19" s="10">
        <f>I18+D19+G19</f>
      </c>
      <c r="J19" s="10">
        <f>J18+E19</f>
      </c>
      <c r="K19" s="10">
        <f>K18+F19+G19</f>
      </c>
    </row>
    <row r="20" spans="1:11" x14ac:dyDescent="0.25">
      <c r="A20">
        <v>18</v>
      </c>
      <c r="B20">
        <f>INT((A20-1)/12)+1</f>
      </c>
      <c r="C20" s="10">
        <f>H19</f>
      </c>
      <c r="D20" s="10">
        <f>IF(C20&lt;=0,0,MIN(-PMT(InterestRate/12,LoanYears*12,LoanAmount),C20+E20))</f>
      </c>
      <c r="E20" s="10">
        <f>IF(C20&gt;0,C20*InterestRate/12,0)</f>
      </c>
      <c r="F20" s="10">
        <f>D20-E20</f>
      </c>
      <c r="G20" s="10">
        <f>IF(AND(BonusFlag="あり",MOD(A20,6)=0,C20-F20&gt;0),MIN(BonusAmount,C20-F20),0)</f>
      </c>
      <c r="H20" s="10">
        <f>MAX(C20-F20-G20,0)</f>
      </c>
      <c r="I20" s="10">
        <f>I19+D20+G20</f>
      </c>
      <c r="J20" s="10">
        <f>J19+E20</f>
      </c>
      <c r="K20" s="10">
        <f>K19+F20+G20</f>
      </c>
    </row>
    <row r="21" spans="1:11" x14ac:dyDescent="0.25">
      <c r="A21">
        <v>19</v>
      </c>
      <c r="B21">
        <f>INT((A21-1)/12)+1</f>
      </c>
      <c r="C21" s="10">
        <f>H20</f>
      </c>
      <c r="D21" s="10">
        <f>IF(C21&lt;=0,0,MIN(-PMT(InterestRate/12,LoanYears*12,LoanAmount),C21+E21))</f>
      </c>
      <c r="E21" s="10">
        <f>IF(C21&gt;0,C21*InterestRate/12,0)</f>
      </c>
      <c r="F21" s="10">
        <f>D21-E21</f>
      </c>
      <c r="G21" s="10">
        <f>IF(AND(BonusFlag="あり",MOD(A21,6)=0,C21-F21&gt;0),MIN(BonusAmount,C21-F21),0)</f>
      </c>
      <c r="H21" s="10">
        <f>MAX(C21-F21-G21,0)</f>
      </c>
      <c r="I21" s="10">
        <f>I20+D21+G21</f>
      </c>
      <c r="J21" s="10">
        <f>J20+E21</f>
      </c>
      <c r="K21" s="10">
        <f>K20+F21+G21</f>
      </c>
    </row>
    <row r="22" spans="1:11" x14ac:dyDescent="0.25">
      <c r="A22">
        <v>20</v>
      </c>
      <c r="B22">
        <f>INT((A22-1)/12)+1</f>
      </c>
      <c r="C22" s="10">
        <f>H21</f>
      </c>
      <c r="D22" s="10">
        <f>IF(C22&lt;=0,0,MIN(-PMT(InterestRate/12,LoanYears*12,LoanAmount),C22+E22))</f>
      </c>
      <c r="E22" s="10">
        <f>IF(C22&gt;0,C22*InterestRate/12,0)</f>
      </c>
      <c r="F22" s="10">
        <f>D22-E22</f>
      </c>
      <c r="G22" s="10">
        <f>IF(AND(BonusFlag="あり",MOD(A22,6)=0,C22-F22&gt;0),MIN(BonusAmount,C22-F22),0)</f>
      </c>
      <c r="H22" s="10">
        <f>MAX(C22-F22-G22,0)</f>
      </c>
      <c r="I22" s="10">
        <f>I21+D22+G22</f>
      </c>
      <c r="J22" s="10">
        <f>J21+E22</f>
      </c>
      <c r="K22" s="10">
        <f>K21+F22+G22</f>
      </c>
    </row>
    <row r="23" spans="1:11" x14ac:dyDescent="0.25">
      <c r="A23">
        <v>21</v>
      </c>
      <c r="B23">
        <f>INT((A23-1)/12)+1</f>
      </c>
      <c r="C23" s="10">
        <f>H22</f>
      </c>
      <c r="D23" s="10">
        <f>IF(C23&lt;=0,0,MIN(-PMT(InterestRate/12,LoanYears*12,LoanAmount),C23+E23))</f>
      </c>
      <c r="E23" s="10">
        <f>IF(C23&gt;0,C23*InterestRate/12,0)</f>
      </c>
      <c r="F23" s="10">
        <f>D23-E23</f>
      </c>
      <c r="G23" s="10">
        <f>IF(AND(BonusFlag="あり",MOD(A23,6)=0,C23-F23&gt;0),MIN(BonusAmount,C23-F23),0)</f>
      </c>
      <c r="H23" s="10">
        <f>MAX(C23-F23-G23,0)</f>
      </c>
      <c r="I23" s="10">
        <f>I22+D23+G23</f>
      </c>
      <c r="J23" s="10">
        <f>J22+E23</f>
      </c>
      <c r="K23" s="10">
        <f>K22+F23+G23</f>
      </c>
    </row>
    <row r="24" spans="1:11" x14ac:dyDescent="0.25">
      <c r="A24">
        <v>22</v>
      </c>
      <c r="B24">
        <f>INT((A24-1)/12)+1</f>
      </c>
      <c r="C24" s="10">
        <f>H23</f>
      </c>
      <c r="D24" s="10">
        <f>IF(C24&lt;=0,0,MIN(-PMT(InterestRate/12,LoanYears*12,LoanAmount),C24+E24))</f>
      </c>
      <c r="E24" s="10">
        <f>IF(C24&gt;0,C24*InterestRate/12,0)</f>
      </c>
      <c r="F24" s="10">
        <f>D24-E24</f>
      </c>
      <c r="G24" s="10">
        <f>IF(AND(BonusFlag="あり",MOD(A24,6)=0,C24-F24&gt;0),MIN(BonusAmount,C24-F24),0)</f>
      </c>
      <c r="H24" s="10">
        <f>MAX(C24-F24-G24,0)</f>
      </c>
      <c r="I24" s="10">
        <f>I23+D24+G24</f>
      </c>
      <c r="J24" s="10">
        <f>J23+E24</f>
      </c>
      <c r="K24" s="10">
        <f>K23+F24+G24</f>
      </c>
    </row>
    <row r="25" spans="1:11" x14ac:dyDescent="0.25">
      <c r="A25">
        <v>23</v>
      </c>
      <c r="B25">
        <f>INT((A25-1)/12)+1</f>
      </c>
      <c r="C25" s="10">
        <f>H24</f>
      </c>
      <c r="D25" s="10">
        <f>IF(C25&lt;=0,0,MIN(-PMT(InterestRate/12,LoanYears*12,LoanAmount),C25+E25))</f>
      </c>
      <c r="E25" s="10">
        <f>IF(C25&gt;0,C25*InterestRate/12,0)</f>
      </c>
      <c r="F25" s="10">
        <f>D25-E25</f>
      </c>
      <c r="G25" s="10">
        <f>IF(AND(BonusFlag="あり",MOD(A25,6)=0,C25-F25&gt;0),MIN(BonusAmount,C25-F25),0)</f>
      </c>
      <c r="H25" s="10">
        <f>MAX(C25-F25-G25,0)</f>
      </c>
      <c r="I25" s="10">
        <f>I24+D25+G25</f>
      </c>
      <c r="J25" s="10">
        <f>J24+E25</f>
      </c>
      <c r="K25" s="10">
        <f>K24+F25+G25</f>
      </c>
    </row>
    <row r="26" spans="1:11" x14ac:dyDescent="0.25">
      <c r="A26">
        <v>24</v>
      </c>
      <c r="B26">
        <f>INT((A26-1)/12)+1</f>
      </c>
      <c r="C26" s="10">
        <f>H25</f>
      </c>
      <c r="D26" s="10">
        <f>IF(C26&lt;=0,0,MIN(-PMT(InterestRate/12,LoanYears*12,LoanAmount),C26+E26))</f>
      </c>
      <c r="E26" s="10">
        <f>IF(C26&gt;0,C26*InterestRate/12,0)</f>
      </c>
      <c r="F26" s="10">
        <f>D26-E26</f>
      </c>
      <c r="G26" s="10">
        <f>IF(AND(BonusFlag="あり",MOD(A26,6)=0,C26-F26&gt;0),MIN(BonusAmount,C26-F26),0)</f>
      </c>
      <c r="H26" s="10">
        <f>MAX(C26-F26-G26,0)</f>
      </c>
      <c r="I26" s="10">
        <f>I25+D26+G26</f>
      </c>
      <c r="J26" s="10">
        <f>J25+E26</f>
      </c>
      <c r="K26" s="10">
        <f>K25+F26+G26</f>
      </c>
    </row>
    <row r="27" spans="1:11" x14ac:dyDescent="0.25">
      <c r="A27">
        <v>25</v>
      </c>
      <c r="B27">
        <f>INT((A27-1)/12)+1</f>
      </c>
      <c r="C27" s="10">
        <f>H26</f>
      </c>
      <c r="D27" s="10">
        <f>IF(C27&lt;=0,0,MIN(-PMT(InterestRate/12,LoanYears*12,LoanAmount),C27+E27))</f>
      </c>
      <c r="E27" s="10">
        <f>IF(C27&gt;0,C27*InterestRate/12,0)</f>
      </c>
      <c r="F27" s="10">
        <f>D27-E27</f>
      </c>
      <c r="G27" s="10">
        <f>IF(AND(BonusFlag="あり",MOD(A27,6)=0,C27-F27&gt;0),MIN(BonusAmount,C27-F27),0)</f>
      </c>
      <c r="H27" s="10">
        <f>MAX(C27-F27-G27,0)</f>
      </c>
      <c r="I27" s="10">
        <f>I26+D27+G27</f>
      </c>
      <c r="J27" s="10">
        <f>J26+E27</f>
      </c>
      <c r="K27" s="10">
        <f>K26+F27+G27</f>
      </c>
    </row>
    <row r="28" spans="1:11" x14ac:dyDescent="0.25">
      <c r="A28">
        <v>26</v>
      </c>
      <c r="B28">
        <f>INT((A28-1)/12)+1</f>
      </c>
      <c r="C28" s="10">
        <f>H27</f>
      </c>
      <c r="D28" s="10">
        <f>IF(C28&lt;=0,0,MIN(-PMT(InterestRate/12,LoanYears*12,LoanAmount),C28+E28))</f>
      </c>
      <c r="E28" s="10">
        <f>IF(C28&gt;0,C28*InterestRate/12,0)</f>
      </c>
      <c r="F28" s="10">
        <f>D28-E28</f>
      </c>
      <c r="G28" s="10">
        <f>IF(AND(BonusFlag="あり",MOD(A28,6)=0,C28-F28&gt;0),MIN(BonusAmount,C28-F28),0)</f>
      </c>
      <c r="H28" s="10">
        <f>MAX(C28-F28-G28,0)</f>
      </c>
      <c r="I28" s="10">
        <f>I27+D28+G28</f>
      </c>
      <c r="J28" s="10">
        <f>J27+E28</f>
      </c>
      <c r="K28" s="10">
        <f>K27+F28+G28</f>
      </c>
    </row>
    <row r="29" spans="1:11" x14ac:dyDescent="0.25">
      <c r="A29">
        <v>27</v>
      </c>
      <c r="B29">
        <f>INT((A29-1)/12)+1</f>
      </c>
      <c r="C29" s="10">
        <f>H28</f>
      </c>
      <c r="D29" s="10">
        <f>IF(C29&lt;=0,0,MIN(-PMT(InterestRate/12,LoanYears*12,LoanAmount),C29+E29))</f>
      </c>
      <c r="E29" s="10">
        <f>IF(C29&gt;0,C29*InterestRate/12,0)</f>
      </c>
      <c r="F29" s="10">
        <f>D29-E29</f>
      </c>
      <c r="G29" s="10">
        <f>IF(AND(BonusFlag="あり",MOD(A29,6)=0,C29-F29&gt;0),MIN(BonusAmount,C29-F29),0)</f>
      </c>
      <c r="H29" s="10">
        <f>MAX(C29-F29-G29,0)</f>
      </c>
      <c r="I29" s="10">
        <f>I28+D29+G29</f>
      </c>
      <c r="J29" s="10">
        <f>J28+E29</f>
      </c>
      <c r="K29" s="10">
        <f>K28+F29+G29</f>
      </c>
    </row>
    <row r="30" spans="1:11" x14ac:dyDescent="0.25">
      <c r="A30">
        <v>28</v>
      </c>
      <c r="B30">
        <f>INT((A30-1)/12)+1</f>
      </c>
      <c r="C30" s="10">
        <f>H29</f>
      </c>
      <c r="D30" s="10">
        <f>IF(C30&lt;=0,0,MIN(-PMT(InterestRate/12,LoanYears*12,LoanAmount),C30+E30))</f>
      </c>
      <c r="E30" s="10">
        <f>IF(C30&gt;0,C30*InterestRate/12,0)</f>
      </c>
      <c r="F30" s="10">
        <f>D30-E30</f>
      </c>
      <c r="G30" s="10">
        <f>IF(AND(BonusFlag="あり",MOD(A30,6)=0,C30-F30&gt;0),MIN(BonusAmount,C30-F30),0)</f>
      </c>
      <c r="H30" s="10">
        <f>MAX(C30-F30-G30,0)</f>
      </c>
      <c r="I30" s="10">
        <f>I29+D30+G30</f>
      </c>
      <c r="J30" s="10">
        <f>J29+E30</f>
      </c>
      <c r="K30" s="10">
        <f>K29+F30+G30</f>
      </c>
    </row>
    <row r="31" spans="1:11" x14ac:dyDescent="0.25">
      <c r="A31">
        <v>29</v>
      </c>
      <c r="B31">
        <f>INT((A31-1)/12)+1</f>
      </c>
      <c r="C31" s="10">
        <f>H30</f>
      </c>
      <c r="D31" s="10">
        <f>IF(C31&lt;=0,0,MIN(-PMT(InterestRate/12,LoanYears*12,LoanAmount),C31+E31))</f>
      </c>
      <c r="E31" s="10">
        <f>IF(C31&gt;0,C31*InterestRate/12,0)</f>
      </c>
      <c r="F31" s="10">
        <f>D31-E31</f>
      </c>
      <c r="G31" s="10">
        <f>IF(AND(BonusFlag="あり",MOD(A31,6)=0,C31-F31&gt;0),MIN(BonusAmount,C31-F31),0)</f>
      </c>
      <c r="H31" s="10">
        <f>MAX(C31-F31-G31,0)</f>
      </c>
      <c r="I31" s="10">
        <f>I30+D31+G31</f>
      </c>
      <c r="J31" s="10">
        <f>J30+E31</f>
      </c>
      <c r="K31" s="10">
        <f>K30+F31+G31</f>
      </c>
    </row>
    <row r="32" spans="1:11" x14ac:dyDescent="0.25">
      <c r="A32">
        <v>30</v>
      </c>
      <c r="B32">
        <f>INT((A32-1)/12)+1</f>
      </c>
      <c r="C32" s="10">
        <f>H31</f>
      </c>
      <c r="D32" s="10">
        <f>IF(C32&lt;=0,0,MIN(-PMT(InterestRate/12,LoanYears*12,LoanAmount),C32+E32))</f>
      </c>
      <c r="E32" s="10">
        <f>IF(C32&gt;0,C32*InterestRate/12,0)</f>
      </c>
      <c r="F32" s="10">
        <f>D32-E32</f>
      </c>
      <c r="G32" s="10">
        <f>IF(AND(BonusFlag="あり",MOD(A32,6)=0,C32-F32&gt;0),MIN(BonusAmount,C32-F32),0)</f>
      </c>
      <c r="H32" s="10">
        <f>MAX(C32-F32-G32,0)</f>
      </c>
      <c r="I32" s="10">
        <f>I31+D32+G32</f>
      </c>
      <c r="J32" s="10">
        <f>J31+E32</f>
      </c>
      <c r="K32" s="10">
        <f>K31+F32+G32</f>
      </c>
    </row>
    <row r="33" spans="1:11" x14ac:dyDescent="0.25">
      <c r="A33">
        <v>31</v>
      </c>
      <c r="B33">
        <f>INT((A33-1)/12)+1</f>
      </c>
      <c r="C33" s="10">
        <f>H32</f>
      </c>
      <c r="D33" s="10">
        <f>IF(C33&lt;=0,0,MIN(-PMT(InterestRate/12,LoanYears*12,LoanAmount),C33+E33))</f>
      </c>
      <c r="E33" s="10">
        <f>IF(C33&gt;0,C33*InterestRate/12,0)</f>
      </c>
      <c r="F33" s="10">
        <f>D33-E33</f>
      </c>
      <c r="G33" s="10">
        <f>IF(AND(BonusFlag="あり",MOD(A33,6)=0,C33-F33&gt;0),MIN(BonusAmount,C33-F33),0)</f>
      </c>
      <c r="H33" s="10">
        <f>MAX(C33-F33-G33,0)</f>
      </c>
      <c r="I33" s="10">
        <f>I32+D33+G33</f>
      </c>
      <c r="J33" s="10">
        <f>J32+E33</f>
      </c>
      <c r="K33" s="10">
        <f>K32+F33+G33</f>
      </c>
    </row>
    <row r="34" spans="1:11" x14ac:dyDescent="0.25">
      <c r="A34">
        <v>32</v>
      </c>
      <c r="B34">
        <f>INT((A34-1)/12)+1</f>
      </c>
      <c r="C34" s="10">
        <f>H33</f>
      </c>
      <c r="D34" s="10">
        <f>IF(C34&lt;=0,0,MIN(-PMT(InterestRate/12,LoanYears*12,LoanAmount),C34+E34))</f>
      </c>
      <c r="E34" s="10">
        <f>IF(C34&gt;0,C34*InterestRate/12,0)</f>
      </c>
      <c r="F34" s="10">
        <f>D34-E34</f>
      </c>
      <c r="G34" s="10">
        <f>IF(AND(BonusFlag="あり",MOD(A34,6)=0,C34-F34&gt;0),MIN(BonusAmount,C34-F34),0)</f>
      </c>
      <c r="H34" s="10">
        <f>MAX(C34-F34-G34,0)</f>
      </c>
      <c r="I34" s="10">
        <f>I33+D34+G34</f>
      </c>
      <c r="J34" s="10">
        <f>J33+E34</f>
      </c>
      <c r="K34" s="10">
        <f>K33+F34+G34</f>
      </c>
    </row>
    <row r="35" spans="1:11" x14ac:dyDescent="0.25">
      <c r="A35">
        <v>33</v>
      </c>
      <c r="B35">
        <f>INT((A35-1)/12)+1</f>
      </c>
      <c r="C35" s="10">
        <f>H34</f>
      </c>
      <c r="D35" s="10">
        <f>IF(C35&lt;=0,0,MIN(-PMT(InterestRate/12,LoanYears*12,LoanAmount),C35+E35))</f>
      </c>
      <c r="E35" s="10">
        <f>IF(C35&gt;0,C35*InterestRate/12,0)</f>
      </c>
      <c r="F35" s="10">
        <f>D35-E35</f>
      </c>
      <c r="G35" s="10">
        <f>IF(AND(BonusFlag="あり",MOD(A35,6)=0,C35-F35&gt;0),MIN(BonusAmount,C35-F35),0)</f>
      </c>
      <c r="H35" s="10">
        <f>MAX(C35-F35-G35,0)</f>
      </c>
      <c r="I35" s="10">
        <f>I34+D35+G35</f>
      </c>
      <c r="J35" s="10">
        <f>J34+E35</f>
      </c>
      <c r="K35" s="10">
        <f>K34+F35+G35</f>
      </c>
    </row>
    <row r="36" spans="1:11" x14ac:dyDescent="0.25">
      <c r="A36">
        <v>34</v>
      </c>
      <c r="B36">
        <f>INT((A36-1)/12)+1</f>
      </c>
      <c r="C36" s="10">
        <f>H35</f>
      </c>
      <c r="D36" s="10">
        <f>IF(C36&lt;=0,0,MIN(-PMT(InterestRate/12,LoanYears*12,LoanAmount),C36+E36))</f>
      </c>
      <c r="E36" s="10">
        <f>IF(C36&gt;0,C36*InterestRate/12,0)</f>
      </c>
      <c r="F36" s="10">
        <f>D36-E36</f>
      </c>
      <c r="G36" s="10">
        <f>IF(AND(BonusFlag="あり",MOD(A36,6)=0,C36-F36&gt;0),MIN(BonusAmount,C36-F36),0)</f>
      </c>
      <c r="H36" s="10">
        <f>MAX(C36-F36-G36,0)</f>
      </c>
      <c r="I36" s="10">
        <f>I35+D36+G36</f>
      </c>
      <c r="J36" s="10">
        <f>J35+E36</f>
      </c>
      <c r="K36" s="10">
        <f>K35+F36+G36</f>
      </c>
    </row>
    <row r="37" spans="1:11" x14ac:dyDescent="0.25">
      <c r="A37">
        <v>35</v>
      </c>
      <c r="B37">
        <f>INT((A37-1)/12)+1</f>
      </c>
      <c r="C37" s="10">
        <f>H36</f>
      </c>
      <c r="D37" s="10">
        <f>IF(C37&lt;=0,0,MIN(-PMT(InterestRate/12,LoanYears*12,LoanAmount),C37+E37))</f>
      </c>
      <c r="E37" s="10">
        <f>IF(C37&gt;0,C37*InterestRate/12,0)</f>
      </c>
      <c r="F37" s="10">
        <f>D37-E37</f>
      </c>
      <c r="G37" s="10">
        <f>IF(AND(BonusFlag="あり",MOD(A37,6)=0,C37-F37&gt;0),MIN(BonusAmount,C37-F37),0)</f>
      </c>
      <c r="H37" s="10">
        <f>MAX(C37-F37-G37,0)</f>
      </c>
      <c r="I37" s="10">
        <f>I36+D37+G37</f>
      </c>
      <c r="J37" s="10">
        <f>J36+E37</f>
      </c>
      <c r="K37" s="10">
        <f>K36+F37+G37</f>
      </c>
    </row>
    <row r="38" spans="1:11" x14ac:dyDescent="0.25">
      <c r="A38">
        <v>36</v>
      </c>
      <c r="B38">
        <f>INT((A38-1)/12)+1</f>
      </c>
      <c r="C38" s="10">
        <f>H37</f>
      </c>
      <c r="D38" s="10">
        <f>IF(C38&lt;=0,0,MIN(-PMT(InterestRate/12,LoanYears*12,LoanAmount),C38+E38))</f>
      </c>
      <c r="E38" s="10">
        <f>IF(C38&gt;0,C38*InterestRate/12,0)</f>
      </c>
      <c r="F38" s="10">
        <f>D38-E38</f>
      </c>
      <c r="G38" s="10">
        <f>IF(AND(BonusFlag="あり",MOD(A38,6)=0,C38-F38&gt;0),MIN(BonusAmount,C38-F38),0)</f>
      </c>
      <c r="H38" s="10">
        <f>MAX(C38-F38-G38,0)</f>
      </c>
      <c r="I38" s="10">
        <f>I37+D38+G38</f>
      </c>
      <c r="J38" s="10">
        <f>J37+E38</f>
      </c>
      <c r="K38" s="10">
        <f>K37+F38+G38</f>
      </c>
    </row>
    <row r="39" spans="1:11" x14ac:dyDescent="0.25">
      <c r="A39">
        <v>37</v>
      </c>
      <c r="B39">
        <f>INT((A39-1)/12)+1</f>
      </c>
      <c r="C39" s="10">
        <f>H38</f>
      </c>
      <c r="D39" s="10">
        <f>IF(C39&lt;=0,0,MIN(-PMT(InterestRate/12,LoanYears*12,LoanAmount),C39+E39))</f>
      </c>
      <c r="E39" s="10">
        <f>IF(C39&gt;0,C39*InterestRate/12,0)</f>
      </c>
      <c r="F39" s="10">
        <f>D39-E39</f>
      </c>
      <c r="G39" s="10">
        <f>IF(AND(BonusFlag="あり",MOD(A39,6)=0,C39-F39&gt;0),MIN(BonusAmount,C39-F39),0)</f>
      </c>
      <c r="H39" s="10">
        <f>MAX(C39-F39-G39,0)</f>
      </c>
      <c r="I39" s="10">
        <f>I38+D39+G39</f>
      </c>
      <c r="J39" s="10">
        <f>J38+E39</f>
      </c>
      <c r="K39" s="10">
        <f>K38+F39+G39</f>
      </c>
    </row>
    <row r="40" spans="1:11" x14ac:dyDescent="0.25">
      <c r="A40">
        <v>38</v>
      </c>
      <c r="B40">
        <f>INT((A40-1)/12)+1</f>
      </c>
      <c r="C40" s="10">
        <f>H39</f>
      </c>
      <c r="D40" s="10">
        <f>IF(C40&lt;=0,0,MIN(-PMT(InterestRate/12,LoanYears*12,LoanAmount),C40+E40))</f>
      </c>
      <c r="E40" s="10">
        <f>IF(C40&gt;0,C40*InterestRate/12,0)</f>
      </c>
      <c r="F40" s="10">
        <f>D40-E40</f>
      </c>
      <c r="G40" s="10">
        <f>IF(AND(BonusFlag="あり",MOD(A40,6)=0,C40-F40&gt;0),MIN(BonusAmount,C40-F40),0)</f>
      </c>
      <c r="H40" s="10">
        <f>MAX(C40-F40-G40,0)</f>
      </c>
      <c r="I40" s="10">
        <f>I39+D40+G40</f>
      </c>
      <c r="J40" s="10">
        <f>J39+E40</f>
      </c>
      <c r="K40" s="10">
        <f>K39+F40+G40</f>
      </c>
    </row>
    <row r="41" spans="1:11" x14ac:dyDescent="0.25">
      <c r="A41">
        <v>39</v>
      </c>
      <c r="B41">
        <f>INT((A41-1)/12)+1</f>
      </c>
      <c r="C41" s="10">
        <f>H40</f>
      </c>
      <c r="D41" s="10">
        <f>IF(C41&lt;=0,0,MIN(-PMT(InterestRate/12,LoanYears*12,LoanAmount),C41+E41))</f>
      </c>
      <c r="E41" s="10">
        <f>IF(C41&gt;0,C41*InterestRate/12,0)</f>
      </c>
      <c r="F41" s="10">
        <f>D41-E41</f>
      </c>
      <c r="G41" s="10">
        <f>IF(AND(BonusFlag="あり",MOD(A41,6)=0,C41-F41&gt;0),MIN(BonusAmount,C41-F41),0)</f>
      </c>
      <c r="H41" s="10">
        <f>MAX(C41-F41-G41,0)</f>
      </c>
      <c r="I41" s="10">
        <f>I40+D41+G41</f>
      </c>
      <c r="J41" s="10">
        <f>J40+E41</f>
      </c>
      <c r="K41" s="10">
        <f>K40+F41+G41</f>
      </c>
    </row>
    <row r="42" spans="1:11" x14ac:dyDescent="0.25">
      <c r="A42">
        <v>40</v>
      </c>
      <c r="B42">
        <f>INT((A42-1)/12)+1</f>
      </c>
      <c r="C42" s="10">
        <f>H41</f>
      </c>
      <c r="D42" s="10">
        <f>IF(C42&lt;=0,0,MIN(-PMT(InterestRate/12,LoanYears*12,LoanAmount),C42+E42))</f>
      </c>
      <c r="E42" s="10">
        <f>IF(C42&gt;0,C42*InterestRate/12,0)</f>
      </c>
      <c r="F42" s="10">
        <f>D42-E42</f>
      </c>
      <c r="G42" s="10">
        <f>IF(AND(BonusFlag="あり",MOD(A42,6)=0,C42-F42&gt;0),MIN(BonusAmount,C42-F42),0)</f>
      </c>
      <c r="H42" s="10">
        <f>MAX(C42-F42-G42,0)</f>
      </c>
      <c r="I42" s="10">
        <f>I41+D42+G42</f>
      </c>
      <c r="J42" s="10">
        <f>J41+E42</f>
      </c>
      <c r="K42" s="10">
        <f>K41+F42+G42</f>
      </c>
    </row>
    <row r="43" spans="1:11" x14ac:dyDescent="0.25">
      <c r="A43">
        <v>41</v>
      </c>
      <c r="B43">
        <f>INT((A43-1)/12)+1</f>
      </c>
      <c r="C43" s="10">
        <f>H42</f>
      </c>
      <c r="D43" s="10">
        <f>IF(C43&lt;=0,0,MIN(-PMT(InterestRate/12,LoanYears*12,LoanAmount),C43+E43))</f>
      </c>
      <c r="E43" s="10">
        <f>IF(C43&gt;0,C43*InterestRate/12,0)</f>
      </c>
      <c r="F43" s="10">
        <f>D43-E43</f>
      </c>
      <c r="G43" s="10">
        <f>IF(AND(BonusFlag="あり",MOD(A43,6)=0,C43-F43&gt;0),MIN(BonusAmount,C43-F43),0)</f>
      </c>
      <c r="H43" s="10">
        <f>MAX(C43-F43-G43,0)</f>
      </c>
      <c r="I43" s="10">
        <f>I42+D43+G43</f>
      </c>
      <c r="J43" s="10">
        <f>J42+E43</f>
      </c>
      <c r="K43" s="10">
        <f>K42+F43+G43</f>
      </c>
    </row>
    <row r="44" spans="1:11" x14ac:dyDescent="0.25">
      <c r="A44">
        <v>42</v>
      </c>
      <c r="B44">
        <f>INT((A44-1)/12)+1</f>
      </c>
      <c r="C44" s="10">
        <f>H43</f>
      </c>
      <c r="D44" s="10">
        <f>IF(C44&lt;=0,0,MIN(-PMT(InterestRate/12,LoanYears*12,LoanAmount),C44+E44))</f>
      </c>
      <c r="E44" s="10">
        <f>IF(C44&gt;0,C44*InterestRate/12,0)</f>
      </c>
      <c r="F44" s="10">
        <f>D44-E44</f>
      </c>
      <c r="G44" s="10">
        <f>IF(AND(BonusFlag="あり",MOD(A44,6)=0,C44-F44&gt;0),MIN(BonusAmount,C44-F44),0)</f>
      </c>
      <c r="H44" s="10">
        <f>MAX(C44-F44-G44,0)</f>
      </c>
      <c r="I44" s="10">
        <f>I43+D44+G44</f>
      </c>
      <c r="J44" s="10">
        <f>J43+E44</f>
      </c>
      <c r="K44" s="10">
        <f>K43+F44+G44</f>
      </c>
    </row>
    <row r="45" spans="1:11" x14ac:dyDescent="0.25">
      <c r="A45">
        <v>43</v>
      </c>
      <c r="B45">
        <f>INT((A45-1)/12)+1</f>
      </c>
      <c r="C45" s="10">
        <f>H44</f>
      </c>
      <c r="D45" s="10">
        <f>IF(C45&lt;=0,0,MIN(-PMT(InterestRate/12,LoanYears*12,LoanAmount),C45+E45))</f>
      </c>
      <c r="E45" s="10">
        <f>IF(C45&gt;0,C45*InterestRate/12,0)</f>
      </c>
      <c r="F45" s="10">
        <f>D45-E45</f>
      </c>
      <c r="G45" s="10">
        <f>IF(AND(BonusFlag="あり",MOD(A45,6)=0,C45-F45&gt;0),MIN(BonusAmount,C45-F45),0)</f>
      </c>
      <c r="H45" s="10">
        <f>MAX(C45-F45-G45,0)</f>
      </c>
      <c r="I45" s="10">
        <f>I44+D45+G45</f>
      </c>
      <c r="J45" s="10">
        <f>J44+E45</f>
      </c>
      <c r="K45" s="10">
        <f>K44+F45+G45</f>
      </c>
    </row>
    <row r="46" spans="1:11" x14ac:dyDescent="0.25">
      <c r="A46">
        <v>44</v>
      </c>
      <c r="B46">
        <f>INT((A46-1)/12)+1</f>
      </c>
      <c r="C46" s="10">
        <f>H45</f>
      </c>
      <c r="D46" s="10">
        <f>IF(C46&lt;=0,0,MIN(-PMT(InterestRate/12,LoanYears*12,LoanAmount),C46+E46))</f>
      </c>
      <c r="E46" s="10">
        <f>IF(C46&gt;0,C46*InterestRate/12,0)</f>
      </c>
      <c r="F46" s="10">
        <f>D46-E46</f>
      </c>
      <c r="G46" s="10">
        <f>IF(AND(BonusFlag="あり",MOD(A46,6)=0,C46-F46&gt;0),MIN(BonusAmount,C46-F46),0)</f>
      </c>
      <c r="H46" s="10">
        <f>MAX(C46-F46-G46,0)</f>
      </c>
      <c r="I46" s="10">
        <f>I45+D46+G46</f>
      </c>
      <c r="J46" s="10">
        <f>J45+E46</f>
      </c>
      <c r="K46" s="10">
        <f>K45+F46+G46</f>
      </c>
    </row>
    <row r="47" spans="1:11" x14ac:dyDescent="0.25">
      <c r="A47">
        <v>45</v>
      </c>
      <c r="B47">
        <f>INT((A47-1)/12)+1</f>
      </c>
      <c r="C47" s="10">
        <f>H46</f>
      </c>
      <c r="D47" s="10">
        <f>IF(C47&lt;=0,0,MIN(-PMT(InterestRate/12,LoanYears*12,LoanAmount),C47+E47))</f>
      </c>
      <c r="E47" s="10">
        <f>IF(C47&gt;0,C47*InterestRate/12,0)</f>
      </c>
      <c r="F47" s="10">
        <f>D47-E47</f>
      </c>
      <c r="G47" s="10">
        <f>IF(AND(BonusFlag="あり",MOD(A47,6)=0,C47-F47&gt;0),MIN(BonusAmount,C47-F47),0)</f>
      </c>
      <c r="H47" s="10">
        <f>MAX(C47-F47-G47,0)</f>
      </c>
      <c r="I47" s="10">
        <f>I46+D47+G47</f>
      </c>
      <c r="J47" s="10">
        <f>J46+E47</f>
      </c>
      <c r="K47" s="10">
        <f>K46+F47+G47</f>
      </c>
    </row>
    <row r="48" spans="1:11" x14ac:dyDescent="0.25">
      <c r="A48">
        <v>46</v>
      </c>
      <c r="B48">
        <f>INT((A48-1)/12)+1</f>
      </c>
      <c r="C48" s="10">
        <f>H47</f>
      </c>
      <c r="D48" s="10">
        <f>IF(C48&lt;=0,0,MIN(-PMT(InterestRate/12,LoanYears*12,LoanAmount),C48+E48))</f>
      </c>
      <c r="E48" s="10">
        <f>IF(C48&gt;0,C48*InterestRate/12,0)</f>
      </c>
      <c r="F48" s="10">
        <f>D48-E48</f>
      </c>
      <c r="G48" s="10">
        <f>IF(AND(BonusFlag="あり",MOD(A48,6)=0,C48-F48&gt;0),MIN(BonusAmount,C48-F48),0)</f>
      </c>
      <c r="H48" s="10">
        <f>MAX(C48-F48-G48,0)</f>
      </c>
      <c r="I48" s="10">
        <f>I47+D48+G48</f>
      </c>
      <c r="J48" s="10">
        <f>J47+E48</f>
      </c>
      <c r="K48" s="10">
        <f>K47+F48+G48</f>
      </c>
    </row>
    <row r="49" spans="1:11" x14ac:dyDescent="0.25">
      <c r="A49">
        <v>47</v>
      </c>
      <c r="B49">
        <f>INT((A49-1)/12)+1</f>
      </c>
      <c r="C49" s="10">
        <f>H48</f>
      </c>
      <c r="D49" s="10">
        <f>IF(C49&lt;=0,0,MIN(-PMT(InterestRate/12,LoanYears*12,LoanAmount),C49+E49))</f>
      </c>
      <c r="E49" s="10">
        <f>IF(C49&gt;0,C49*InterestRate/12,0)</f>
      </c>
      <c r="F49" s="10">
        <f>D49-E49</f>
      </c>
      <c r="G49" s="10">
        <f>IF(AND(BonusFlag="あり",MOD(A49,6)=0,C49-F49&gt;0),MIN(BonusAmount,C49-F49),0)</f>
      </c>
      <c r="H49" s="10">
        <f>MAX(C49-F49-G49,0)</f>
      </c>
      <c r="I49" s="10">
        <f>I48+D49+G49</f>
      </c>
      <c r="J49" s="10">
        <f>J48+E49</f>
      </c>
      <c r="K49" s="10">
        <f>K48+F49+G49</f>
      </c>
    </row>
    <row r="50" spans="1:11" x14ac:dyDescent="0.25">
      <c r="A50">
        <v>48</v>
      </c>
      <c r="B50">
        <f>INT((A50-1)/12)+1</f>
      </c>
      <c r="C50" s="10">
        <f>H49</f>
      </c>
      <c r="D50" s="10">
        <f>IF(C50&lt;=0,0,MIN(-PMT(InterestRate/12,LoanYears*12,LoanAmount),C50+E50))</f>
      </c>
      <c r="E50" s="10">
        <f>IF(C50&gt;0,C50*InterestRate/12,0)</f>
      </c>
      <c r="F50" s="10">
        <f>D50-E50</f>
      </c>
      <c r="G50" s="10">
        <f>IF(AND(BonusFlag="あり",MOD(A50,6)=0,C50-F50&gt;0),MIN(BonusAmount,C50-F50),0)</f>
      </c>
      <c r="H50" s="10">
        <f>MAX(C50-F50-G50,0)</f>
      </c>
      <c r="I50" s="10">
        <f>I49+D50+G50</f>
      </c>
      <c r="J50" s="10">
        <f>J49+E50</f>
      </c>
      <c r="K50" s="10">
        <f>K49+F50+G50</f>
      </c>
    </row>
    <row r="51" spans="1:11" x14ac:dyDescent="0.25">
      <c r="A51">
        <v>49</v>
      </c>
      <c r="B51">
        <f>INT((A51-1)/12)+1</f>
      </c>
      <c r="C51" s="10">
        <f>H50</f>
      </c>
      <c r="D51" s="10">
        <f>IF(C51&lt;=0,0,MIN(-PMT(InterestRate/12,LoanYears*12,LoanAmount),C51+E51))</f>
      </c>
      <c r="E51" s="10">
        <f>IF(C51&gt;0,C51*InterestRate/12,0)</f>
      </c>
      <c r="F51" s="10">
        <f>D51-E51</f>
      </c>
      <c r="G51" s="10">
        <f>IF(AND(BonusFlag="あり",MOD(A51,6)=0,C51-F51&gt;0),MIN(BonusAmount,C51-F51),0)</f>
      </c>
      <c r="H51" s="10">
        <f>MAX(C51-F51-G51,0)</f>
      </c>
      <c r="I51" s="10">
        <f>I50+D51+G51</f>
      </c>
      <c r="J51" s="10">
        <f>J50+E51</f>
      </c>
      <c r="K51" s="10">
        <f>K50+F51+G51</f>
      </c>
    </row>
    <row r="52" spans="1:11" x14ac:dyDescent="0.25">
      <c r="A52">
        <v>50</v>
      </c>
      <c r="B52">
        <f>INT((A52-1)/12)+1</f>
      </c>
      <c r="C52" s="10">
        <f>H51</f>
      </c>
      <c r="D52" s="10">
        <f>IF(C52&lt;=0,0,MIN(-PMT(InterestRate/12,LoanYears*12,LoanAmount),C52+E52))</f>
      </c>
      <c r="E52" s="10">
        <f>IF(C52&gt;0,C52*InterestRate/12,0)</f>
      </c>
      <c r="F52" s="10">
        <f>D52-E52</f>
      </c>
      <c r="G52" s="10">
        <f>IF(AND(BonusFlag="あり",MOD(A52,6)=0,C52-F52&gt;0),MIN(BonusAmount,C52-F52),0)</f>
      </c>
      <c r="H52" s="10">
        <f>MAX(C52-F52-G52,0)</f>
      </c>
      <c r="I52" s="10">
        <f>I51+D52+G52</f>
      </c>
      <c r="J52" s="10">
        <f>J51+E52</f>
      </c>
      <c r="K52" s="10">
        <f>K51+F52+G52</f>
      </c>
    </row>
    <row r="53" spans="1:11" x14ac:dyDescent="0.25">
      <c r="A53">
        <v>51</v>
      </c>
      <c r="B53">
        <f>INT((A53-1)/12)+1</f>
      </c>
      <c r="C53" s="10">
        <f>H52</f>
      </c>
      <c r="D53" s="10">
        <f>IF(C53&lt;=0,0,MIN(-PMT(InterestRate/12,LoanYears*12,LoanAmount),C53+E53))</f>
      </c>
      <c r="E53" s="10">
        <f>IF(C53&gt;0,C53*InterestRate/12,0)</f>
      </c>
      <c r="F53" s="10">
        <f>D53-E53</f>
      </c>
      <c r="G53" s="10">
        <f>IF(AND(BonusFlag="あり",MOD(A53,6)=0,C53-F53&gt;0),MIN(BonusAmount,C53-F53),0)</f>
      </c>
      <c r="H53" s="10">
        <f>MAX(C53-F53-G53,0)</f>
      </c>
      <c r="I53" s="10">
        <f>I52+D53+G53</f>
      </c>
      <c r="J53" s="10">
        <f>J52+E53</f>
      </c>
      <c r="K53" s="10">
        <f>K52+F53+G53</f>
      </c>
    </row>
    <row r="54" spans="1:11" x14ac:dyDescent="0.25">
      <c r="A54">
        <v>52</v>
      </c>
      <c r="B54">
        <f>INT((A54-1)/12)+1</f>
      </c>
      <c r="C54" s="10">
        <f>H53</f>
      </c>
      <c r="D54" s="10">
        <f>IF(C54&lt;=0,0,MIN(-PMT(InterestRate/12,LoanYears*12,LoanAmount),C54+E54))</f>
      </c>
      <c r="E54" s="10">
        <f>IF(C54&gt;0,C54*InterestRate/12,0)</f>
      </c>
      <c r="F54" s="10">
        <f>D54-E54</f>
      </c>
      <c r="G54" s="10">
        <f>IF(AND(BonusFlag="あり",MOD(A54,6)=0,C54-F54&gt;0),MIN(BonusAmount,C54-F54),0)</f>
      </c>
      <c r="H54" s="10">
        <f>MAX(C54-F54-G54,0)</f>
      </c>
      <c r="I54" s="10">
        <f>I53+D54+G54</f>
      </c>
      <c r="J54" s="10">
        <f>J53+E54</f>
      </c>
      <c r="K54" s="10">
        <f>K53+F54+G54</f>
      </c>
    </row>
    <row r="55" spans="1:11" x14ac:dyDescent="0.25">
      <c r="A55">
        <v>53</v>
      </c>
      <c r="B55">
        <f>INT((A55-1)/12)+1</f>
      </c>
      <c r="C55" s="10">
        <f>H54</f>
      </c>
      <c r="D55" s="10">
        <f>IF(C55&lt;=0,0,MIN(-PMT(InterestRate/12,LoanYears*12,LoanAmount),C55+E55))</f>
      </c>
      <c r="E55" s="10">
        <f>IF(C55&gt;0,C55*InterestRate/12,0)</f>
      </c>
      <c r="F55" s="10">
        <f>D55-E55</f>
      </c>
      <c r="G55" s="10">
        <f>IF(AND(BonusFlag="あり",MOD(A55,6)=0,C55-F55&gt;0),MIN(BonusAmount,C55-F55),0)</f>
      </c>
      <c r="H55" s="10">
        <f>MAX(C55-F55-G55,0)</f>
      </c>
      <c r="I55" s="10">
        <f>I54+D55+G55</f>
      </c>
      <c r="J55" s="10">
        <f>J54+E55</f>
      </c>
      <c r="K55" s="10">
        <f>K54+F55+G55</f>
      </c>
    </row>
    <row r="56" spans="1:11" x14ac:dyDescent="0.25">
      <c r="A56">
        <v>54</v>
      </c>
      <c r="B56">
        <f>INT((A56-1)/12)+1</f>
      </c>
      <c r="C56" s="10">
        <f>H55</f>
      </c>
      <c r="D56" s="10">
        <f>IF(C56&lt;=0,0,MIN(-PMT(InterestRate/12,LoanYears*12,LoanAmount),C56+E56))</f>
      </c>
      <c r="E56" s="10">
        <f>IF(C56&gt;0,C56*InterestRate/12,0)</f>
      </c>
      <c r="F56" s="10">
        <f>D56-E56</f>
      </c>
      <c r="G56" s="10">
        <f>IF(AND(BonusFlag="あり",MOD(A56,6)=0,C56-F56&gt;0),MIN(BonusAmount,C56-F56),0)</f>
      </c>
      <c r="H56" s="10">
        <f>MAX(C56-F56-G56,0)</f>
      </c>
      <c r="I56" s="10">
        <f>I55+D56+G56</f>
      </c>
      <c r="J56" s="10">
        <f>J55+E56</f>
      </c>
      <c r="K56" s="10">
        <f>K55+F56+G56</f>
      </c>
    </row>
    <row r="57" spans="1:11" x14ac:dyDescent="0.25">
      <c r="A57">
        <v>55</v>
      </c>
      <c r="B57">
        <f>INT((A57-1)/12)+1</f>
      </c>
      <c r="C57" s="10">
        <f>H56</f>
      </c>
      <c r="D57" s="10">
        <f>IF(C57&lt;=0,0,MIN(-PMT(InterestRate/12,LoanYears*12,LoanAmount),C57+E57))</f>
      </c>
      <c r="E57" s="10">
        <f>IF(C57&gt;0,C57*InterestRate/12,0)</f>
      </c>
      <c r="F57" s="10">
        <f>D57-E57</f>
      </c>
      <c r="G57" s="10">
        <f>IF(AND(BonusFlag="あり",MOD(A57,6)=0,C57-F57&gt;0),MIN(BonusAmount,C57-F57),0)</f>
      </c>
      <c r="H57" s="10">
        <f>MAX(C57-F57-G57,0)</f>
      </c>
      <c r="I57" s="10">
        <f>I56+D57+G57</f>
      </c>
      <c r="J57" s="10">
        <f>J56+E57</f>
      </c>
      <c r="K57" s="10">
        <f>K56+F57+G57</f>
      </c>
    </row>
    <row r="58" spans="1:11" x14ac:dyDescent="0.25">
      <c r="A58">
        <v>56</v>
      </c>
      <c r="B58">
        <f>INT((A58-1)/12)+1</f>
      </c>
      <c r="C58" s="10">
        <f>H57</f>
      </c>
      <c r="D58" s="10">
        <f>IF(C58&lt;=0,0,MIN(-PMT(InterestRate/12,LoanYears*12,LoanAmount),C58+E58))</f>
      </c>
      <c r="E58" s="10">
        <f>IF(C58&gt;0,C58*InterestRate/12,0)</f>
      </c>
      <c r="F58" s="10">
        <f>D58-E58</f>
      </c>
      <c r="G58" s="10">
        <f>IF(AND(BonusFlag="あり",MOD(A58,6)=0,C58-F58&gt;0),MIN(BonusAmount,C58-F58),0)</f>
      </c>
      <c r="H58" s="10">
        <f>MAX(C58-F58-G58,0)</f>
      </c>
      <c r="I58" s="10">
        <f>I57+D58+G58</f>
      </c>
      <c r="J58" s="10">
        <f>J57+E58</f>
      </c>
      <c r="K58" s="10">
        <f>K57+F58+G58</f>
      </c>
    </row>
    <row r="59" spans="1:11" x14ac:dyDescent="0.25">
      <c r="A59">
        <v>57</v>
      </c>
      <c r="B59">
        <f>INT((A59-1)/12)+1</f>
      </c>
      <c r="C59" s="10">
        <f>H58</f>
      </c>
      <c r="D59" s="10">
        <f>IF(C59&lt;=0,0,MIN(-PMT(InterestRate/12,LoanYears*12,LoanAmount),C59+E59))</f>
      </c>
      <c r="E59" s="10">
        <f>IF(C59&gt;0,C59*InterestRate/12,0)</f>
      </c>
      <c r="F59" s="10">
        <f>D59-E59</f>
      </c>
      <c r="G59" s="10">
        <f>IF(AND(BonusFlag="あり",MOD(A59,6)=0,C59-F59&gt;0),MIN(BonusAmount,C59-F59),0)</f>
      </c>
      <c r="H59" s="10">
        <f>MAX(C59-F59-G59,0)</f>
      </c>
      <c r="I59" s="10">
        <f>I58+D59+G59</f>
      </c>
      <c r="J59" s="10">
        <f>J58+E59</f>
      </c>
      <c r="K59" s="10">
        <f>K58+F59+G59</f>
      </c>
    </row>
    <row r="60" spans="1:11" x14ac:dyDescent="0.25">
      <c r="A60">
        <v>58</v>
      </c>
      <c r="B60">
        <f>INT((A60-1)/12)+1</f>
      </c>
      <c r="C60" s="10">
        <f>H59</f>
      </c>
      <c r="D60" s="10">
        <f>IF(C60&lt;=0,0,MIN(-PMT(InterestRate/12,LoanYears*12,LoanAmount),C60+E60))</f>
      </c>
      <c r="E60" s="10">
        <f>IF(C60&gt;0,C60*InterestRate/12,0)</f>
      </c>
      <c r="F60" s="10">
        <f>D60-E60</f>
      </c>
      <c r="G60" s="10">
        <f>IF(AND(BonusFlag="あり",MOD(A60,6)=0,C60-F60&gt;0),MIN(BonusAmount,C60-F60),0)</f>
      </c>
      <c r="H60" s="10">
        <f>MAX(C60-F60-G60,0)</f>
      </c>
      <c r="I60" s="10">
        <f>I59+D60+G60</f>
      </c>
      <c r="J60" s="10">
        <f>J59+E60</f>
      </c>
      <c r="K60" s="10">
        <f>K59+F60+G60</f>
      </c>
    </row>
    <row r="61" spans="1:11" x14ac:dyDescent="0.25">
      <c r="A61">
        <v>59</v>
      </c>
      <c r="B61">
        <f>INT((A61-1)/12)+1</f>
      </c>
      <c r="C61" s="10">
        <f>H60</f>
      </c>
      <c r="D61" s="10">
        <f>IF(C61&lt;=0,0,MIN(-PMT(InterestRate/12,LoanYears*12,LoanAmount),C61+E61))</f>
      </c>
      <c r="E61" s="10">
        <f>IF(C61&gt;0,C61*InterestRate/12,0)</f>
      </c>
      <c r="F61" s="10">
        <f>D61-E61</f>
      </c>
      <c r="G61" s="10">
        <f>IF(AND(BonusFlag="あり",MOD(A61,6)=0,C61-F61&gt;0),MIN(BonusAmount,C61-F61),0)</f>
      </c>
      <c r="H61" s="10">
        <f>MAX(C61-F61-G61,0)</f>
      </c>
      <c r="I61" s="10">
        <f>I60+D61+G61</f>
      </c>
      <c r="J61" s="10">
        <f>J60+E61</f>
      </c>
      <c r="K61" s="10">
        <f>K60+F61+G61</f>
      </c>
    </row>
    <row r="62" spans="1:11" x14ac:dyDescent="0.25">
      <c r="A62">
        <v>60</v>
      </c>
      <c r="B62">
        <f>INT((A62-1)/12)+1</f>
      </c>
      <c r="C62" s="10">
        <f>H61</f>
      </c>
      <c r="D62" s="10">
        <f>IF(C62&lt;=0,0,MIN(-PMT(InterestRate/12,LoanYears*12,LoanAmount),C62+E62))</f>
      </c>
      <c r="E62" s="10">
        <f>IF(C62&gt;0,C62*InterestRate/12,0)</f>
      </c>
      <c r="F62" s="10">
        <f>D62-E62</f>
      </c>
      <c r="G62" s="10">
        <f>IF(AND(BonusFlag="あり",MOD(A62,6)=0,C62-F62&gt;0),MIN(BonusAmount,C62-F62),0)</f>
      </c>
      <c r="H62" s="10">
        <f>MAX(C62-F62-G62,0)</f>
      </c>
      <c r="I62" s="10">
        <f>I61+D62+G62</f>
      </c>
      <c r="J62" s="10">
        <f>J61+E62</f>
      </c>
      <c r="K62" s="10">
        <f>K61+F62+G62</f>
      </c>
    </row>
    <row r="63" spans="1:11" x14ac:dyDescent="0.25">
      <c r="A63">
        <v>61</v>
      </c>
      <c r="B63">
        <f>INT((A63-1)/12)+1</f>
      </c>
      <c r="C63" s="10">
        <f>H62</f>
      </c>
      <c r="D63" s="10">
        <f>IF(C63&lt;=0,0,MIN(-PMT(InterestRate/12,LoanYears*12,LoanAmount),C63+E63))</f>
      </c>
      <c r="E63" s="10">
        <f>IF(C63&gt;0,C63*InterestRate/12,0)</f>
      </c>
      <c r="F63" s="10">
        <f>D63-E63</f>
      </c>
      <c r="G63" s="10">
        <f>IF(AND(BonusFlag="あり",MOD(A63,6)=0,C63-F63&gt;0),MIN(BonusAmount,C63-F63),0)</f>
      </c>
      <c r="H63" s="10">
        <f>MAX(C63-F63-G63,0)</f>
      </c>
      <c r="I63" s="10">
        <f>I62+D63+G63</f>
      </c>
      <c r="J63" s="10">
        <f>J62+E63</f>
      </c>
      <c r="K63" s="10">
        <f>K62+F63+G63</f>
      </c>
    </row>
    <row r="64" spans="1:11" x14ac:dyDescent="0.25">
      <c r="A64">
        <v>62</v>
      </c>
      <c r="B64">
        <f>INT((A64-1)/12)+1</f>
      </c>
      <c r="C64" s="10">
        <f>H63</f>
      </c>
      <c r="D64" s="10">
        <f>IF(C64&lt;=0,0,MIN(-PMT(InterestRate/12,LoanYears*12,LoanAmount),C64+E64))</f>
      </c>
      <c r="E64" s="10">
        <f>IF(C64&gt;0,C64*InterestRate/12,0)</f>
      </c>
      <c r="F64" s="10">
        <f>D64-E64</f>
      </c>
      <c r="G64" s="10">
        <f>IF(AND(BonusFlag="あり",MOD(A64,6)=0,C64-F64&gt;0),MIN(BonusAmount,C64-F64),0)</f>
      </c>
      <c r="H64" s="10">
        <f>MAX(C64-F64-G64,0)</f>
      </c>
      <c r="I64" s="10">
        <f>I63+D64+G64</f>
      </c>
      <c r="J64" s="10">
        <f>J63+E64</f>
      </c>
      <c r="K64" s="10">
        <f>K63+F64+G64</f>
      </c>
    </row>
    <row r="65" spans="1:11" x14ac:dyDescent="0.25">
      <c r="A65">
        <v>63</v>
      </c>
      <c r="B65">
        <f>INT((A65-1)/12)+1</f>
      </c>
      <c r="C65" s="10">
        <f>H64</f>
      </c>
      <c r="D65" s="10">
        <f>IF(C65&lt;=0,0,MIN(-PMT(InterestRate/12,LoanYears*12,LoanAmount),C65+E65))</f>
      </c>
      <c r="E65" s="10">
        <f>IF(C65&gt;0,C65*InterestRate/12,0)</f>
      </c>
      <c r="F65" s="10">
        <f>D65-E65</f>
      </c>
      <c r="G65" s="10">
        <f>IF(AND(BonusFlag="あり",MOD(A65,6)=0,C65-F65&gt;0),MIN(BonusAmount,C65-F65),0)</f>
      </c>
      <c r="H65" s="10">
        <f>MAX(C65-F65-G65,0)</f>
      </c>
      <c r="I65" s="10">
        <f>I64+D65+G65</f>
      </c>
      <c r="J65" s="10">
        <f>J64+E65</f>
      </c>
      <c r="K65" s="10">
        <f>K64+F65+G65</f>
      </c>
    </row>
    <row r="66" spans="1:11" x14ac:dyDescent="0.25">
      <c r="A66">
        <v>64</v>
      </c>
      <c r="B66">
        <f>INT((A66-1)/12)+1</f>
      </c>
      <c r="C66" s="10">
        <f>H65</f>
      </c>
      <c r="D66" s="10">
        <f>IF(C66&lt;=0,0,MIN(-PMT(InterestRate/12,LoanYears*12,LoanAmount),C66+E66))</f>
      </c>
      <c r="E66" s="10">
        <f>IF(C66&gt;0,C66*InterestRate/12,0)</f>
      </c>
      <c r="F66" s="10">
        <f>D66-E66</f>
      </c>
      <c r="G66" s="10">
        <f>IF(AND(BonusFlag="あり",MOD(A66,6)=0,C66-F66&gt;0),MIN(BonusAmount,C66-F66),0)</f>
      </c>
      <c r="H66" s="10">
        <f>MAX(C66-F66-G66,0)</f>
      </c>
      <c r="I66" s="10">
        <f>I65+D66+G66</f>
      </c>
      <c r="J66" s="10">
        <f>J65+E66</f>
      </c>
      <c r="K66" s="10">
        <f>K65+F66+G66</f>
      </c>
    </row>
    <row r="67" spans="1:11" x14ac:dyDescent="0.25">
      <c r="A67">
        <v>65</v>
      </c>
      <c r="B67">
        <f>INT((A67-1)/12)+1</f>
      </c>
      <c r="C67" s="10">
        <f>H66</f>
      </c>
      <c r="D67" s="10">
        <f>IF(C67&lt;=0,0,MIN(-PMT(InterestRate/12,LoanYears*12,LoanAmount),C67+E67))</f>
      </c>
      <c r="E67" s="10">
        <f>IF(C67&gt;0,C67*InterestRate/12,0)</f>
      </c>
      <c r="F67" s="10">
        <f>D67-E67</f>
      </c>
      <c r="G67" s="10">
        <f>IF(AND(BonusFlag="あり",MOD(A67,6)=0,C67-F67&gt;0),MIN(BonusAmount,C67-F67),0)</f>
      </c>
      <c r="H67" s="10">
        <f>MAX(C67-F67-G67,0)</f>
      </c>
      <c r="I67" s="10">
        <f>I66+D67+G67</f>
      </c>
      <c r="J67" s="10">
        <f>J66+E67</f>
      </c>
      <c r="K67" s="10">
        <f>K66+F67+G67</f>
      </c>
    </row>
    <row r="68" spans="1:11" x14ac:dyDescent="0.25">
      <c r="A68">
        <v>66</v>
      </c>
      <c r="B68">
        <f>INT((A68-1)/12)+1</f>
      </c>
      <c r="C68" s="10">
        <f>H67</f>
      </c>
      <c r="D68" s="10">
        <f>IF(C68&lt;=0,0,MIN(-PMT(InterestRate/12,LoanYears*12,LoanAmount),C68+E68))</f>
      </c>
      <c r="E68" s="10">
        <f>IF(C68&gt;0,C68*InterestRate/12,0)</f>
      </c>
      <c r="F68" s="10">
        <f>D68-E68</f>
      </c>
      <c r="G68" s="10">
        <f>IF(AND(BonusFlag="あり",MOD(A68,6)=0,C68-F68&gt;0),MIN(BonusAmount,C68-F68),0)</f>
      </c>
      <c r="H68" s="10">
        <f>MAX(C68-F68-G68,0)</f>
      </c>
      <c r="I68" s="10">
        <f>I67+D68+G68</f>
      </c>
      <c r="J68" s="10">
        <f>J67+E68</f>
      </c>
      <c r="K68" s="10">
        <f>K67+F68+G68</f>
      </c>
    </row>
    <row r="69" spans="1:11" x14ac:dyDescent="0.25">
      <c r="A69">
        <v>67</v>
      </c>
      <c r="B69">
        <f>INT((A69-1)/12)+1</f>
      </c>
      <c r="C69" s="10">
        <f>H68</f>
      </c>
      <c r="D69" s="10">
        <f>IF(C69&lt;=0,0,MIN(-PMT(InterestRate/12,LoanYears*12,LoanAmount),C69+E69))</f>
      </c>
      <c r="E69" s="10">
        <f>IF(C69&gt;0,C69*InterestRate/12,0)</f>
      </c>
      <c r="F69" s="10">
        <f>D69-E69</f>
      </c>
      <c r="G69" s="10">
        <f>IF(AND(BonusFlag="あり",MOD(A69,6)=0,C69-F69&gt;0),MIN(BonusAmount,C69-F69),0)</f>
      </c>
      <c r="H69" s="10">
        <f>MAX(C69-F69-G69,0)</f>
      </c>
      <c r="I69" s="10">
        <f>I68+D69+G69</f>
      </c>
      <c r="J69" s="10">
        <f>J68+E69</f>
      </c>
      <c r="K69" s="10">
        <f>K68+F69+G69</f>
      </c>
    </row>
    <row r="70" spans="1:11" x14ac:dyDescent="0.25">
      <c r="A70">
        <v>68</v>
      </c>
      <c r="B70">
        <f>INT((A70-1)/12)+1</f>
      </c>
      <c r="C70" s="10">
        <f>H69</f>
      </c>
      <c r="D70" s="10">
        <f>IF(C70&lt;=0,0,MIN(-PMT(InterestRate/12,LoanYears*12,LoanAmount),C70+E70))</f>
      </c>
      <c r="E70" s="10">
        <f>IF(C70&gt;0,C70*InterestRate/12,0)</f>
      </c>
      <c r="F70" s="10">
        <f>D70-E70</f>
      </c>
      <c r="G70" s="10">
        <f>IF(AND(BonusFlag="あり",MOD(A70,6)=0,C70-F70&gt;0),MIN(BonusAmount,C70-F70),0)</f>
      </c>
      <c r="H70" s="10">
        <f>MAX(C70-F70-G70,0)</f>
      </c>
      <c r="I70" s="10">
        <f>I69+D70+G70</f>
      </c>
      <c r="J70" s="10">
        <f>J69+E70</f>
      </c>
      <c r="K70" s="10">
        <f>K69+F70+G70</f>
      </c>
    </row>
    <row r="71" spans="1:11" x14ac:dyDescent="0.25">
      <c r="A71">
        <v>69</v>
      </c>
      <c r="B71">
        <f>INT((A71-1)/12)+1</f>
      </c>
      <c r="C71" s="10">
        <f>H70</f>
      </c>
      <c r="D71" s="10">
        <f>IF(C71&lt;=0,0,MIN(-PMT(InterestRate/12,LoanYears*12,LoanAmount),C71+E71))</f>
      </c>
      <c r="E71" s="10">
        <f>IF(C71&gt;0,C71*InterestRate/12,0)</f>
      </c>
      <c r="F71" s="10">
        <f>D71-E71</f>
      </c>
      <c r="G71" s="10">
        <f>IF(AND(BonusFlag="あり",MOD(A71,6)=0,C71-F71&gt;0),MIN(BonusAmount,C71-F71),0)</f>
      </c>
      <c r="H71" s="10">
        <f>MAX(C71-F71-G71,0)</f>
      </c>
      <c r="I71" s="10">
        <f>I70+D71+G71</f>
      </c>
      <c r="J71" s="10">
        <f>J70+E71</f>
      </c>
      <c r="K71" s="10">
        <f>K70+F71+G71</f>
      </c>
    </row>
    <row r="72" spans="1:11" x14ac:dyDescent="0.25">
      <c r="A72">
        <v>70</v>
      </c>
      <c r="B72">
        <f>INT((A72-1)/12)+1</f>
      </c>
      <c r="C72" s="10">
        <f>H71</f>
      </c>
      <c r="D72" s="10">
        <f>IF(C72&lt;=0,0,MIN(-PMT(InterestRate/12,LoanYears*12,LoanAmount),C72+E72))</f>
      </c>
      <c r="E72" s="10">
        <f>IF(C72&gt;0,C72*InterestRate/12,0)</f>
      </c>
      <c r="F72" s="10">
        <f>D72-E72</f>
      </c>
      <c r="G72" s="10">
        <f>IF(AND(BonusFlag="あり",MOD(A72,6)=0,C72-F72&gt;0),MIN(BonusAmount,C72-F72),0)</f>
      </c>
      <c r="H72" s="10">
        <f>MAX(C72-F72-G72,0)</f>
      </c>
      <c r="I72" s="10">
        <f>I71+D72+G72</f>
      </c>
      <c r="J72" s="10">
        <f>J71+E72</f>
      </c>
      <c r="K72" s="10">
        <f>K71+F72+G72</f>
      </c>
    </row>
    <row r="73" spans="1:11" x14ac:dyDescent="0.25">
      <c r="A73">
        <v>71</v>
      </c>
      <c r="B73">
        <f>INT((A73-1)/12)+1</f>
      </c>
      <c r="C73" s="10">
        <f>H72</f>
      </c>
      <c r="D73" s="10">
        <f>IF(C73&lt;=0,0,MIN(-PMT(InterestRate/12,LoanYears*12,LoanAmount),C73+E73))</f>
      </c>
      <c r="E73" s="10">
        <f>IF(C73&gt;0,C73*InterestRate/12,0)</f>
      </c>
      <c r="F73" s="10">
        <f>D73-E73</f>
      </c>
      <c r="G73" s="10">
        <f>IF(AND(BonusFlag="あり",MOD(A73,6)=0,C73-F73&gt;0),MIN(BonusAmount,C73-F73),0)</f>
      </c>
      <c r="H73" s="10">
        <f>MAX(C73-F73-G73,0)</f>
      </c>
      <c r="I73" s="10">
        <f>I72+D73+G73</f>
      </c>
      <c r="J73" s="10">
        <f>J72+E73</f>
      </c>
      <c r="K73" s="10">
        <f>K72+F73+G73</f>
      </c>
    </row>
    <row r="74" spans="1:11" x14ac:dyDescent="0.25">
      <c r="A74">
        <v>72</v>
      </c>
      <c r="B74">
        <f>INT((A74-1)/12)+1</f>
      </c>
      <c r="C74" s="10">
        <f>H73</f>
      </c>
      <c r="D74" s="10">
        <f>IF(C74&lt;=0,0,MIN(-PMT(InterestRate/12,LoanYears*12,LoanAmount),C74+E74))</f>
      </c>
      <c r="E74" s="10">
        <f>IF(C74&gt;0,C74*InterestRate/12,0)</f>
      </c>
      <c r="F74" s="10">
        <f>D74-E74</f>
      </c>
      <c r="G74" s="10">
        <f>IF(AND(BonusFlag="あり",MOD(A74,6)=0,C74-F74&gt;0),MIN(BonusAmount,C74-F74),0)</f>
      </c>
      <c r="H74" s="10">
        <f>MAX(C74-F74-G74,0)</f>
      </c>
      <c r="I74" s="10">
        <f>I73+D74+G74</f>
      </c>
      <c r="J74" s="10">
        <f>J73+E74</f>
      </c>
      <c r="K74" s="10">
        <f>K73+F74+G74</f>
      </c>
    </row>
    <row r="75" spans="1:11" x14ac:dyDescent="0.25">
      <c r="A75">
        <v>73</v>
      </c>
      <c r="B75">
        <f>INT((A75-1)/12)+1</f>
      </c>
      <c r="C75" s="10">
        <f>H74</f>
      </c>
      <c r="D75" s="10">
        <f>IF(C75&lt;=0,0,MIN(-PMT(InterestRate/12,LoanYears*12,LoanAmount),C75+E75))</f>
      </c>
      <c r="E75" s="10">
        <f>IF(C75&gt;0,C75*InterestRate/12,0)</f>
      </c>
      <c r="F75" s="10">
        <f>D75-E75</f>
      </c>
      <c r="G75" s="10">
        <f>IF(AND(BonusFlag="あり",MOD(A75,6)=0,C75-F75&gt;0),MIN(BonusAmount,C75-F75),0)</f>
      </c>
      <c r="H75" s="10">
        <f>MAX(C75-F75-G75,0)</f>
      </c>
      <c r="I75" s="10">
        <f>I74+D75+G75</f>
      </c>
      <c r="J75" s="10">
        <f>J74+E75</f>
      </c>
      <c r="K75" s="10">
        <f>K74+F75+G75</f>
      </c>
    </row>
    <row r="76" spans="1:11" x14ac:dyDescent="0.25">
      <c r="A76">
        <v>74</v>
      </c>
      <c r="B76">
        <f>INT((A76-1)/12)+1</f>
      </c>
      <c r="C76" s="10">
        <f>H75</f>
      </c>
      <c r="D76" s="10">
        <f>IF(C76&lt;=0,0,MIN(-PMT(InterestRate/12,LoanYears*12,LoanAmount),C76+E76))</f>
      </c>
      <c r="E76" s="10">
        <f>IF(C76&gt;0,C76*InterestRate/12,0)</f>
      </c>
      <c r="F76" s="10">
        <f>D76-E76</f>
      </c>
      <c r="G76" s="10">
        <f>IF(AND(BonusFlag="あり",MOD(A76,6)=0,C76-F76&gt;0),MIN(BonusAmount,C76-F76),0)</f>
      </c>
      <c r="H76" s="10">
        <f>MAX(C76-F76-G76,0)</f>
      </c>
      <c r="I76" s="10">
        <f>I75+D76+G76</f>
      </c>
      <c r="J76" s="10">
        <f>J75+E76</f>
      </c>
      <c r="K76" s="10">
        <f>K75+F76+G76</f>
      </c>
    </row>
    <row r="77" spans="1:11" x14ac:dyDescent="0.25">
      <c r="A77">
        <v>75</v>
      </c>
      <c r="B77">
        <f>INT((A77-1)/12)+1</f>
      </c>
      <c r="C77" s="10">
        <f>H76</f>
      </c>
      <c r="D77" s="10">
        <f>IF(C77&lt;=0,0,MIN(-PMT(InterestRate/12,LoanYears*12,LoanAmount),C77+E77))</f>
      </c>
      <c r="E77" s="10">
        <f>IF(C77&gt;0,C77*InterestRate/12,0)</f>
      </c>
      <c r="F77" s="10">
        <f>D77-E77</f>
      </c>
      <c r="G77" s="10">
        <f>IF(AND(BonusFlag="あり",MOD(A77,6)=0,C77-F77&gt;0),MIN(BonusAmount,C77-F77),0)</f>
      </c>
      <c r="H77" s="10">
        <f>MAX(C77-F77-G77,0)</f>
      </c>
      <c r="I77" s="10">
        <f>I76+D77+G77</f>
      </c>
      <c r="J77" s="10">
        <f>J76+E77</f>
      </c>
      <c r="K77" s="10">
        <f>K76+F77+G77</f>
      </c>
    </row>
    <row r="78" spans="1:11" x14ac:dyDescent="0.25">
      <c r="A78">
        <v>76</v>
      </c>
      <c r="B78">
        <f>INT((A78-1)/12)+1</f>
      </c>
      <c r="C78" s="10">
        <f>H77</f>
      </c>
      <c r="D78" s="10">
        <f>IF(C78&lt;=0,0,MIN(-PMT(InterestRate/12,LoanYears*12,LoanAmount),C78+E78))</f>
      </c>
      <c r="E78" s="10">
        <f>IF(C78&gt;0,C78*InterestRate/12,0)</f>
      </c>
      <c r="F78" s="10">
        <f>D78-E78</f>
      </c>
      <c r="G78" s="10">
        <f>IF(AND(BonusFlag="あり",MOD(A78,6)=0,C78-F78&gt;0),MIN(BonusAmount,C78-F78),0)</f>
      </c>
      <c r="H78" s="10">
        <f>MAX(C78-F78-G78,0)</f>
      </c>
      <c r="I78" s="10">
        <f>I77+D78+G78</f>
      </c>
      <c r="J78" s="10">
        <f>J77+E78</f>
      </c>
      <c r="K78" s="10">
        <f>K77+F78+G78</f>
      </c>
    </row>
    <row r="79" spans="1:11" x14ac:dyDescent="0.25">
      <c r="A79">
        <v>77</v>
      </c>
      <c r="B79">
        <f>INT((A79-1)/12)+1</f>
      </c>
      <c r="C79" s="10">
        <f>H78</f>
      </c>
      <c r="D79" s="10">
        <f>IF(C79&lt;=0,0,MIN(-PMT(InterestRate/12,LoanYears*12,LoanAmount),C79+E79))</f>
      </c>
      <c r="E79" s="10">
        <f>IF(C79&gt;0,C79*InterestRate/12,0)</f>
      </c>
      <c r="F79" s="10">
        <f>D79-E79</f>
      </c>
      <c r="G79" s="10">
        <f>IF(AND(BonusFlag="あり",MOD(A79,6)=0,C79-F79&gt;0),MIN(BonusAmount,C79-F79),0)</f>
      </c>
      <c r="H79" s="10">
        <f>MAX(C79-F79-G79,0)</f>
      </c>
      <c r="I79" s="10">
        <f>I78+D79+G79</f>
      </c>
      <c r="J79" s="10">
        <f>J78+E79</f>
      </c>
      <c r="K79" s="10">
        <f>K78+F79+G79</f>
      </c>
    </row>
    <row r="80" spans="1:11" x14ac:dyDescent="0.25">
      <c r="A80">
        <v>78</v>
      </c>
      <c r="B80">
        <f>INT((A80-1)/12)+1</f>
      </c>
      <c r="C80" s="10">
        <f>H79</f>
      </c>
      <c r="D80" s="10">
        <f>IF(C80&lt;=0,0,MIN(-PMT(InterestRate/12,LoanYears*12,LoanAmount),C80+E80))</f>
      </c>
      <c r="E80" s="10">
        <f>IF(C80&gt;0,C80*InterestRate/12,0)</f>
      </c>
      <c r="F80" s="10">
        <f>D80-E80</f>
      </c>
      <c r="G80" s="10">
        <f>IF(AND(BonusFlag="あり",MOD(A80,6)=0,C80-F80&gt;0),MIN(BonusAmount,C80-F80),0)</f>
      </c>
      <c r="H80" s="10">
        <f>MAX(C80-F80-G80,0)</f>
      </c>
      <c r="I80" s="10">
        <f>I79+D80+G80</f>
      </c>
      <c r="J80" s="10">
        <f>J79+E80</f>
      </c>
      <c r="K80" s="10">
        <f>K79+F80+G80</f>
      </c>
    </row>
    <row r="81" spans="1:11" x14ac:dyDescent="0.25">
      <c r="A81">
        <v>79</v>
      </c>
      <c r="B81">
        <f>INT((A81-1)/12)+1</f>
      </c>
      <c r="C81" s="10">
        <f>H80</f>
      </c>
      <c r="D81" s="10">
        <f>IF(C81&lt;=0,0,MIN(-PMT(InterestRate/12,LoanYears*12,LoanAmount),C81+E81))</f>
      </c>
      <c r="E81" s="10">
        <f>IF(C81&gt;0,C81*InterestRate/12,0)</f>
      </c>
      <c r="F81" s="10">
        <f>D81-E81</f>
      </c>
      <c r="G81" s="10">
        <f>IF(AND(BonusFlag="あり",MOD(A81,6)=0,C81-F81&gt;0),MIN(BonusAmount,C81-F81),0)</f>
      </c>
      <c r="H81" s="10">
        <f>MAX(C81-F81-G81,0)</f>
      </c>
      <c r="I81" s="10">
        <f>I80+D81+G81</f>
      </c>
      <c r="J81" s="10">
        <f>J80+E81</f>
      </c>
      <c r="K81" s="10">
        <f>K80+F81+G81</f>
      </c>
    </row>
    <row r="82" spans="1:11" x14ac:dyDescent="0.25">
      <c r="A82">
        <v>80</v>
      </c>
      <c r="B82">
        <f>INT((A82-1)/12)+1</f>
      </c>
      <c r="C82" s="10">
        <f>H81</f>
      </c>
      <c r="D82" s="10">
        <f>IF(C82&lt;=0,0,MIN(-PMT(InterestRate/12,LoanYears*12,LoanAmount),C82+E82))</f>
      </c>
      <c r="E82" s="10">
        <f>IF(C82&gt;0,C82*InterestRate/12,0)</f>
      </c>
      <c r="F82" s="10">
        <f>D82-E82</f>
      </c>
      <c r="G82" s="10">
        <f>IF(AND(BonusFlag="あり",MOD(A82,6)=0,C82-F82&gt;0),MIN(BonusAmount,C82-F82),0)</f>
      </c>
      <c r="H82" s="10">
        <f>MAX(C82-F82-G82,0)</f>
      </c>
      <c r="I82" s="10">
        <f>I81+D82+G82</f>
      </c>
      <c r="J82" s="10">
        <f>J81+E82</f>
      </c>
      <c r="K82" s="10">
        <f>K81+F82+G82</f>
      </c>
    </row>
    <row r="83" spans="1:11" x14ac:dyDescent="0.25">
      <c r="A83">
        <v>81</v>
      </c>
      <c r="B83">
        <f>INT((A83-1)/12)+1</f>
      </c>
      <c r="C83" s="10">
        <f>H82</f>
      </c>
      <c r="D83" s="10">
        <f>IF(C83&lt;=0,0,MIN(-PMT(InterestRate/12,LoanYears*12,LoanAmount),C83+E83))</f>
      </c>
      <c r="E83" s="10">
        <f>IF(C83&gt;0,C83*InterestRate/12,0)</f>
      </c>
      <c r="F83" s="10">
        <f>D83-E83</f>
      </c>
      <c r="G83" s="10">
        <f>IF(AND(BonusFlag="あり",MOD(A83,6)=0,C83-F83&gt;0),MIN(BonusAmount,C83-F83),0)</f>
      </c>
      <c r="H83" s="10">
        <f>MAX(C83-F83-G83,0)</f>
      </c>
      <c r="I83" s="10">
        <f>I82+D83+G83</f>
      </c>
      <c r="J83" s="10">
        <f>J82+E83</f>
      </c>
      <c r="K83" s="10">
        <f>K82+F83+G83</f>
      </c>
    </row>
    <row r="84" spans="1:11" x14ac:dyDescent="0.25">
      <c r="A84">
        <v>82</v>
      </c>
      <c r="B84">
        <f>INT((A84-1)/12)+1</f>
      </c>
      <c r="C84" s="10">
        <f>H83</f>
      </c>
      <c r="D84" s="10">
        <f>IF(C84&lt;=0,0,MIN(-PMT(InterestRate/12,LoanYears*12,LoanAmount),C84+E84))</f>
      </c>
      <c r="E84" s="10">
        <f>IF(C84&gt;0,C84*InterestRate/12,0)</f>
      </c>
      <c r="F84" s="10">
        <f>D84-E84</f>
      </c>
      <c r="G84" s="10">
        <f>IF(AND(BonusFlag="あり",MOD(A84,6)=0,C84-F84&gt;0),MIN(BonusAmount,C84-F84),0)</f>
      </c>
      <c r="H84" s="10">
        <f>MAX(C84-F84-G84,0)</f>
      </c>
      <c r="I84" s="10">
        <f>I83+D84+G84</f>
      </c>
      <c r="J84" s="10">
        <f>J83+E84</f>
      </c>
      <c r="K84" s="10">
        <f>K83+F84+G84</f>
      </c>
    </row>
    <row r="85" spans="1:11" x14ac:dyDescent="0.25">
      <c r="A85">
        <v>83</v>
      </c>
      <c r="B85">
        <f>INT((A85-1)/12)+1</f>
      </c>
      <c r="C85" s="10">
        <f>H84</f>
      </c>
      <c r="D85" s="10">
        <f>IF(C85&lt;=0,0,MIN(-PMT(InterestRate/12,LoanYears*12,LoanAmount),C85+E85))</f>
      </c>
      <c r="E85" s="10">
        <f>IF(C85&gt;0,C85*InterestRate/12,0)</f>
      </c>
      <c r="F85" s="10">
        <f>D85-E85</f>
      </c>
      <c r="G85" s="10">
        <f>IF(AND(BonusFlag="あり",MOD(A85,6)=0,C85-F85&gt;0),MIN(BonusAmount,C85-F85),0)</f>
      </c>
      <c r="H85" s="10">
        <f>MAX(C85-F85-G85,0)</f>
      </c>
      <c r="I85" s="10">
        <f>I84+D85+G85</f>
      </c>
      <c r="J85" s="10">
        <f>J84+E85</f>
      </c>
      <c r="K85" s="10">
        <f>K84+F85+G85</f>
      </c>
    </row>
    <row r="86" spans="1:11" x14ac:dyDescent="0.25">
      <c r="A86">
        <v>84</v>
      </c>
      <c r="B86">
        <f>INT((A86-1)/12)+1</f>
      </c>
      <c r="C86" s="10">
        <f>H85</f>
      </c>
      <c r="D86" s="10">
        <f>IF(C86&lt;=0,0,MIN(-PMT(InterestRate/12,LoanYears*12,LoanAmount),C86+E86))</f>
      </c>
      <c r="E86" s="10">
        <f>IF(C86&gt;0,C86*InterestRate/12,0)</f>
      </c>
      <c r="F86" s="10">
        <f>D86-E86</f>
      </c>
      <c r="G86" s="10">
        <f>IF(AND(BonusFlag="あり",MOD(A86,6)=0,C86-F86&gt;0),MIN(BonusAmount,C86-F86),0)</f>
      </c>
      <c r="H86" s="10">
        <f>MAX(C86-F86-G86,0)</f>
      </c>
      <c r="I86" s="10">
        <f>I85+D86+G86</f>
      </c>
      <c r="J86" s="10">
        <f>J85+E86</f>
      </c>
      <c r="K86" s="10">
        <f>K85+F86+G86</f>
      </c>
    </row>
    <row r="87" spans="1:11" x14ac:dyDescent="0.25">
      <c r="A87">
        <v>85</v>
      </c>
      <c r="B87">
        <f>INT((A87-1)/12)+1</f>
      </c>
      <c r="C87" s="10">
        <f>H86</f>
      </c>
      <c r="D87" s="10">
        <f>IF(C87&lt;=0,0,MIN(-PMT(InterestRate/12,LoanYears*12,LoanAmount),C87+E87))</f>
      </c>
      <c r="E87" s="10">
        <f>IF(C87&gt;0,C87*InterestRate/12,0)</f>
      </c>
      <c r="F87" s="10">
        <f>D87-E87</f>
      </c>
      <c r="G87" s="10">
        <f>IF(AND(BonusFlag="あり",MOD(A87,6)=0,C87-F87&gt;0),MIN(BonusAmount,C87-F87),0)</f>
      </c>
      <c r="H87" s="10">
        <f>MAX(C87-F87-G87,0)</f>
      </c>
      <c r="I87" s="10">
        <f>I86+D87+G87</f>
      </c>
      <c r="J87" s="10">
        <f>J86+E87</f>
      </c>
      <c r="K87" s="10">
        <f>K86+F87+G87</f>
      </c>
    </row>
    <row r="88" spans="1:11" x14ac:dyDescent="0.25">
      <c r="A88">
        <v>86</v>
      </c>
      <c r="B88">
        <f>INT((A88-1)/12)+1</f>
      </c>
      <c r="C88" s="10">
        <f>H87</f>
      </c>
      <c r="D88" s="10">
        <f>IF(C88&lt;=0,0,MIN(-PMT(InterestRate/12,LoanYears*12,LoanAmount),C88+E88))</f>
      </c>
      <c r="E88" s="10">
        <f>IF(C88&gt;0,C88*InterestRate/12,0)</f>
      </c>
      <c r="F88" s="10">
        <f>D88-E88</f>
      </c>
      <c r="G88" s="10">
        <f>IF(AND(BonusFlag="あり",MOD(A88,6)=0,C88-F88&gt;0),MIN(BonusAmount,C88-F88),0)</f>
      </c>
      <c r="H88" s="10">
        <f>MAX(C88-F88-G88,0)</f>
      </c>
      <c r="I88" s="10">
        <f>I87+D88+G88</f>
      </c>
      <c r="J88" s="10">
        <f>J87+E88</f>
      </c>
      <c r="K88" s="10">
        <f>K87+F88+G88</f>
      </c>
    </row>
    <row r="89" spans="1:11" x14ac:dyDescent="0.25">
      <c r="A89">
        <v>87</v>
      </c>
      <c r="B89">
        <f>INT((A89-1)/12)+1</f>
      </c>
      <c r="C89" s="10">
        <f>H88</f>
      </c>
      <c r="D89" s="10">
        <f>IF(C89&lt;=0,0,MIN(-PMT(InterestRate/12,LoanYears*12,LoanAmount),C89+E89))</f>
      </c>
      <c r="E89" s="10">
        <f>IF(C89&gt;0,C89*InterestRate/12,0)</f>
      </c>
      <c r="F89" s="10">
        <f>D89-E89</f>
      </c>
      <c r="G89" s="10">
        <f>IF(AND(BonusFlag="あり",MOD(A89,6)=0,C89-F89&gt;0),MIN(BonusAmount,C89-F89),0)</f>
      </c>
      <c r="H89" s="10">
        <f>MAX(C89-F89-G89,0)</f>
      </c>
      <c r="I89" s="10">
        <f>I88+D89+G89</f>
      </c>
      <c r="J89" s="10">
        <f>J88+E89</f>
      </c>
      <c r="K89" s="10">
        <f>K88+F89+G89</f>
      </c>
    </row>
    <row r="90" spans="1:11" x14ac:dyDescent="0.25">
      <c r="A90">
        <v>88</v>
      </c>
      <c r="B90">
        <f>INT((A90-1)/12)+1</f>
      </c>
      <c r="C90" s="10">
        <f>H89</f>
      </c>
      <c r="D90" s="10">
        <f>IF(C90&lt;=0,0,MIN(-PMT(InterestRate/12,LoanYears*12,LoanAmount),C90+E90))</f>
      </c>
      <c r="E90" s="10">
        <f>IF(C90&gt;0,C90*InterestRate/12,0)</f>
      </c>
      <c r="F90" s="10">
        <f>D90-E90</f>
      </c>
      <c r="G90" s="10">
        <f>IF(AND(BonusFlag="あり",MOD(A90,6)=0,C90-F90&gt;0),MIN(BonusAmount,C90-F90),0)</f>
      </c>
      <c r="H90" s="10">
        <f>MAX(C90-F90-G90,0)</f>
      </c>
      <c r="I90" s="10">
        <f>I89+D90+G90</f>
      </c>
      <c r="J90" s="10">
        <f>J89+E90</f>
      </c>
      <c r="K90" s="10">
        <f>K89+F90+G90</f>
      </c>
    </row>
    <row r="91" spans="1:11" x14ac:dyDescent="0.25">
      <c r="A91">
        <v>89</v>
      </c>
      <c r="B91">
        <f>INT((A91-1)/12)+1</f>
      </c>
      <c r="C91" s="10">
        <f>H90</f>
      </c>
      <c r="D91" s="10">
        <f>IF(C91&lt;=0,0,MIN(-PMT(InterestRate/12,LoanYears*12,LoanAmount),C91+E91))</f>
      </c>
      <c r="E91" s="10">
        <f>IF(C91&gt;0,C91*InterestRate/12,0)</f>
      </c>
      <c r="F91" s="10">
        <f>D91-E91</f>
      </c>
      <c r="G91" s="10">
        <f>IF(AND(BonusFlag="あり",MOD(A91,6)=0,C91-F91&gt;0),MIN(BonusAmount,C91-F91),0)</f>
      </c>
      <c r="H91" s="10">
        <f>MAX(C91-F91-G91,0)</f>
      </c>
      <c r="I91" s="10">
        <f>I90+D91+G91</f>
      </c>
      <c r="J91" s="10">
        <f>J90+E91</f>
      </c>
      <c r="K91" s="10">
        <f>K90+F91+G91</f>
      </c>
    </row>
    <row r="92" spans="1:11" x14ac:dyDescent="0.25">
      <c r="A92">
        <v>90</v>
      </c>
      <c r="B92">
        <f>INT((A92-1)/12)+1</f>
      </c>
      <c r="C92" s="10">
        <f>H91</f>
      </c>
      <c r="D92" s="10">
        <f>IF(C92&lt;=0,0,MIN(-PMT(InterestRate/12,LoanYears*12,LoanAmount),C92+E92))</f>
      </c>
      <c r="E92" s="10">
        <f>IF(C92&gt;0,C92*InterestRate/12,0)</f>
      </c>
      <c r="F92" s="10">
        <f>D92-E92</f>
      </c>
      <c r="G92" s="10">
        <f>IF(AND(BonusFlag="あり",MOD(A92,6)=0,C92-F92&gt;0),MIN(BonusAmount,C92-F92),0)</f>
      </c>
      <c r="H92" s="10">
        <f>MAX(C92-F92-G92,0)</f>
      </c>
      <c r="I92" s="10">
        <f>I91+D92+G92</f>
      </c>
      <c r="J92" s="10">
        <f>J91+E92</f>
      </c>
      <c r="K92" s="10">
        <f>K91+F92+G92</f>
      </c>
    </row>
    <row r="93" spans="1:11" x14ac:dyDescent="0.25">
      <c r="A93">
        <v>91</v>
      </c>
      <c r="B93">
        <f>INT((A93-1)/12)+1</f>
      </c>
      <c r="C93" s="10">
        <f>H92</f>
      </c>
      <c r="D93" s="10">
        <f>IF(C93&lt;=0,0,MIN(-PMT(InterestRate/12,LoanYears*12,LoanAmount),C93+E93))</f>
      </c>
      <c r="E93" s="10">
        <f>IF(C93&gt;0,C93*InterestRate/12,0)</f>
      </c>
      <c r="F93" s="10">
        <f>D93-E93</f>
      </c>
      <c r="G93" s="10">
        <f>IF(AND(BonusFlag="あり",MOD(A93,6)=0,C93-F93&gt;0),MIN(BonusAmount,C93-F93),0)</f>
      </c>
      <c r="H93" s="10">
        <f>MAX(C93-F93-G93,0)</f>
      </c>
      <c r="I93" s="10">
        <f>I92+D93+G93</f>
      </c>
      <c r="J93" s="10">
        <f>J92+E93</f>
      </c>
      <c r="K93" s="10">
        <f>K92+F93+G93</f>
      </c>
    </row>
    <row r="94" spans="1:11" x14ac:dyDescent="0.25">
      <c r="A94">
        <v>92</v>
      </c>
      <c r="B94">
        <f>INT((A94-1)/12)+1</f>
      </c>
      <c r="C94" s="10">
        <f>H93</f>
      </c>
      <c r="D94" s="10">
        <f>IF(C94&lt;=0,0,MIN(-PMT(InterestRate/12,LoanYears*12,LoanAmount),C94+E94))</f>
      </c>
      <c r="E94" s="10">
        <f>IF(C94&gt;0,C94*InterestRate/12,0)</f>
      </c>
      <c r="F94" s="10">
        <f>D94-E94</f>
      </c>
      <c r="G94" s="10">
        <f>IF(AND(BonusFlag="あり",MOD(A94,6)=0,C94-F94&gt;0),MIN(BonusAmount,C94-F94),0)</f>
      </c>
      <c r="H94" s="10">
        <f>MAX(C94-F94-G94,0)</f>
      </c>
      <c r="I94" s="10">
        <f>I93+D94+G94</f>
      </c>
      <c r="J94" s="10">
        <f>J93+E94</f>
      </c>
      <c r="K94" s="10">
        <f>K93+F94+G94</f>
      </c>
    </row>
    <row r="95" spans="1:11" x14ac:dyDescent="0.25">
      <c r="A95">
        <v>93</v>
      </c>
      <c r="B95">
        <f>INT((A95-1)/12)+1</f>
      </c>
      <c r="C95" s="10">
        <f>H94</f>
      </c>
      <c r="D95" s="10">
        <f>IF(C95&lt;=0,0,MIN(-PMT(InterestRate/12,LoanYears*12,LoanAmount),C95+E95))</f>
      </c>
      <c r="E95" s="10">
        <f>IF(C95&gt;0,C95*InterestRate/12,0)</f>
      </c>
      <c r="F95" s="10">
        <f>D95-E95</f>
      </c>
      <c r="G95" s="10">
        <f>IF(AND(BonusFlag="あり",MOD(A95,6)=0,C95-F95&gt;0),MIN(BonusAmount,C95-F95),0)</f>
      </c>
      <c r="H95" s="10">
        <f>MAX(C95-F95-G95,0)</f>
      </c>
      <c r="I95" s="10">
        <f>I94+D95+G95</f>
      </c>
      <c r="J95" s="10">
        <f>J94+E95</f>
      </c>
      <c r="K95" s="10">
        <f>K94+F95+G95</f>
      </c>
    </row>
    <row r="96" spans="1:11" x14ac:dyDescent="0.25">
      <c r="A96">
        <v>94</v>
      </c>
      <c r="B96">
        <f>INT((A96-1)/12)+1</f>
      </c>
      <c r="C96" s="10">
        <f>H95</f>
      </c>
      <c r="D96" s="10">
        <f>IF(C96&lt;=0,0,MIN(-PMT(InterestRate/12,LoanYears*12,LoanAmount),C96+E96))</f>
      </c>
      <c r="E96" s="10">
        <f>IF(C96&gt;0,C96*InterestRate/12,0)</f>
      </c>
      <c r="F96" s="10">
        <f>D96-E96</f>
      </c>
      <c r="G96" s="10">
        <f>IF(AND(BonusFlag="あり",MOD(A96,6)=0,C96-F96&gt;0),MIN(BonusAmount,C96-F96),0)</f>
      </c>
      <c r="H96" s="10">
        <f>MAX(C96-F96-G96,0)</f>
      </c>
      <c r="I96" s="10">
        <f>I95+D96+G96</f>
      </c>
      <c r="J96" s="10">
        <f>J95+E96</f>
      </c>
      <c r="K96" s="10">
        <f>K95+F96+G96</f>
      </c>
    </row>
    <row r="97" spans="1:11" x14ac:dyDescent="0.25">
      <c r="A97">
        <v>95</v>
      </c>
      <c r="B97">
        <f>INT((A97-1)/12)+1</f>
      </c>
      <c r="C97" s="10">
        <f>H96</f>
      </c>
      <c r="D97" s="10">
        <f>IF(C97&lt;=0,0,MIN(-PMT(InterestRate/12,LoanYears*12,LoanAmount),C97+E97))</f>
      </c>
      <c r="E97" s="10">
        <f>IF(C97&gt;0,C97*InterestRate/12,0)</f>
      </c>
      <c r="F97" s="10">
        <f>D97-E97</f>
      </c>
      <c r="G97" s="10">
        <f>IF(AND(BonusFlag="あり",MOD(A97,6)=0,C97-F97&gt;0),MIN(BonusAmount,C97-F97),0)</f>
      </c>
      <c r="H97" s="10">
        <f>MAX(C97-F97-G97,0)</f>
      </c>
      <c r="I97" s="10">
        <f>I96+D97+G97</f>
      </c>
      <c r="J97" s="10">
        <f>J96+E97</f>
      </c>
      <c r="K97" s="10">
        <f>K96+F97+G97</f>
      </c>
    </row>
    <row r="98" spans="1:11" x14ac:dyDescent="0.25">
      <c r="A98">
        <v>96</v>
      </c>
      <c r="B98">
        <f>INT((A98-1)/12)+1</f>
      </c>
      <c r="C98" s="10">
        <f>H97</f>
      </c>
      <c r="D98" s="10">
        <f>IF(C98&lt;=0,0,MIN(-PMT(InterestRate/12,LoanYears*12,LoanAmount),C98+E98))</f>
      </c>
      <c r="E98" s="10">
        <f>IF(C98&gt;0,C98*InterestRate/12,0)</f>
      </c>
      <c r="F98" s="10">
        <f>D98-E98</f>
      </c>
      <c r="G98" s="10">
        <f>IF(AND(BonusFlag="あり",MOD(A98,6)=0,C98-F98&gt;0),MIN(BonusAmount,C98-F98),0)</f>
      </c>
      <c r="H98" s="10">
        <f>MAX(C98-F98-G98,0)</f>
      </c>
      <c r="I98" s="10">
        <f>I97+D98+G98</f>
      </c>
      <c r="J98" s="10">
        <f>J97+E98</f>
      </c>
      <c r="K98" s="10">
        <f>K97+F98+G98</f>
      </c>
    </row>
    <row r="99" spans="1:11" x14ac:dyDescent="0.25">
      <c r="A99">
        <v>97</v>
      </c>
      <c r="B99">
        <f>INT((A99-1)/12)+1</f>
      </c>
      <c r="C99" s="10">
        <f>H98</f>
      </c>
      <c r="D99" s="10">
        <f>IF(C99&lt;=0,0,MIN(-PMT(InterestRate/12,LoanYears*12,LoanAmount),C99+E99))</f>
      </c>
      <c r="E99" s="10">
        <f>IF(C99&gt;0,C99*InterestRate/12,0)</f>
      </c>
      <c r="F99" s="10">
        <f>D99-E99</f>
      </c>
      <c r="G99" s="10">
        <f>IF(AND(BonusFlag="あり",MOD(A99,6)=0,C99-F99&gt;0),MIN(BonusAmount,C99-F99),0)</f>
      </c>
      <c r="H99" s="10">
        <f>MAX(C99-F99-G99,0)</f>
      </c>
      <c r="I99" s="10">
        <f>I98+D99+G99</f>
      </c>
      <c r="J99" s="10">
        <f>J98+E99</f>
      </c>
      <c r="K99" s="10">
        <f>K98+F99+G99</f>
      </c>
    </row>
    <row r="100" spans="1:11" x14ac:dyDescent="0.25">
      <c r="A100">
        <v>98</v>
      </c>
      <c r="B100">
        <f>INT((A100-1)/12)+1</f>
      </c>
      <c r="C100" s="10">
        <f>H99</f>
      </c>
      <c r="D100" s="10">
        <f>IF(C100&lt;=0,0,MIN(-PMT(InterestRate/12,LoanYears*12,LoanAmount),C100+E100))</f>
      </c>
      <c r="E100" s="10">
        <f>IF(C100&gt;0,C100*InterestRate/12,0)</f>
      </c>
      <c r="F100" s="10">
        <f>D100-E100</f>
      </c>
      <c r="G100" s="10">
        <f>IF(AND(BonusFlag="あり",MOD(A100,6)=0,C100-F100&gt;0),MIN(BonusAmount,C100-F100),0)</f>
      </c>
      <c r="H100" s="10">
        <f>MAX(C100-F100-G100,0)</f>
      </c>
      <c r="I100" s="10">
        <f>I99+D100+G100</f>
      </c>
      <c r="J100" s="10">
        <f>J99+E100</f>
      </c>
      <c r="K100" s="10">
        <f>K99+F100+G100</f>
      </c>
    </row>
    <row r="101" spans="1:11" x14ac:dyDescent="0.25">
      <c r="A101">
        <v>99</v>
      </c>
      <c r="B101">
        <f>INT((A101-1)/12)+1</f>
      </c>
      <c r="C101" s="10">
        <f>H100</f>
      </c>
      <c r="D101" s="10">
        <f>IF(C101&lt;=0,0,MIN(-PMT(InterestRate/12,LoanYears*12,LoanAmount),C101+E101))</f>
      </c>
      <c r="E101" s="10">
        <f>IF(C101&gt;0,C101*InterestRate/12,0)</f>
      </c>
      <c r="F101" s="10">
        <f>D101-E101</f>
      </c>
      <c r="G101" s="10">
        <f>IF(AND(BonusFlag="あり",MOD(A101,6)=0,C101-F101&gt;0),MIN(BonusAmount,C101-F101),0)</f>
      </c>
      <c r="H101" s="10">
        <f>MAX(C101-F101-G101,0)</f>
      </c>
      <c r="I101" s="10">
        <f>I100+D101+G101</f>
      </c>
      <c r="J101" s="10">
        <f>J100+E101</f>
      </c>
      <c r="K101" s="10">
        <f>K100+F101+G101</f>
      </c>
    </row>
    <row r="102" spans="1:11" x14ac:dyDescent="0.25">
      <c r="A102">
        <v>100</v>
      </c>
      <c r="B102">
        <f>INT((A102-1)/12)+1</f>
      </c>
      <c r="C102" s="10">
        <f>H101</f>
      </c>
      <c r="D102" s="10">
        <f>IF(C102&lt;=0,0,MIN(-PMT(InterestRate/12,LoanYears*12,LoanAmount),C102+E102))</f>
      </c>
      <c r="E102" s="10">
        <f>IF(C102&gt;0,C102*InterestRate/12,0)</f>
      </c>
      <c r="F102" s="10">
        <f>D102-E102</f>
      </c>
      <c r="G102" s="10">
        <f>IF(AND(BonusFlag="あり",MOD(A102,6)=0,C102-F102&gt;0),MIN(BonusAmount,C102-F102),0)</f>
      </c>
      <c r="H102" s="10">
        <f>MAX(C102-F102-G102,0)</f>
      </c>
      <c r="I102" s="10">
        <f>I101+D102+G102</f>
      </c>
      <c r="J102" s="10">
        <f>J101+E102</f>
      </c>
      <c r="K102" s="10">
        <f>K101+F102+G102</f>
      </c>
    </row>
    <row r="103" spans="1:11" x14ac:dyDescent="0.25">
      <c r="A103">
        <v>101</v>
      </c>
      <c r="B103">
        <f>INT((A103-1)/12)+1</f>
      </c>
      <c r="C103" s="10">
        <f>H102</f>
      </c>
      <c r="D103" s="10">
        <f>IF(C103&lt;=0,0,MIN(-PMT(InterestRate/12,LoanYears*12,LoanAmount),C103+E103))</f>
      </c>
      <c r="E103" s="10">
        <f>IF(C103&gt;0,C103*InterestRate/12,0)</f>
      </c>
      <c r="F103" s="10">
        <f>D103-E103</f>
      </c>
      <c r="G103" s="10">
        <f>IF(AND(BonusFlag="あり",MOD(A103,6)=0,C103-F103&gt;0),MIN(BonusAmount,C103-F103),0)</f>
      </c>
      <c r="H103" s="10">
        <f>MAX(C103-F103-G103,0)</f>
      </c>
      <c r="I103" s="10">
        <f>I102+D103+G103</f>
      </c>
      <c r="J103" s="10">
        <f>J102+E103</f>
      </c>
      <c r="K103" s="10">
        <f>K102+F103+G103</f>
      </c>
    </row>
    <row r="104" spans="1:11" x14ac:dyDescent="0.25">
      <c r="A104">
        <v>102</v>
      </c>
      <c r="B104">
        <f>INT((A104-1)/12)+1</f>
      </c>
      <c r="C104" s="10">
        <f>H103</f>
      </c>
      <c r="D104" s="10">
        <f>IF(C104&lt;=0,0,MIN(-PMT(InterestRate/12,LoanYears*12,LoanAmount),C104+E104))</f>
      </c>
      <c r="E104" s="10">
        <f>IF(C104&gt;0,C104*InterestRate/12,0)</f>
      </c>
      <c r="F104" s="10">
        <f>D104-E104</f>
      </c>
      <c r="G104" s="10">
        <f>IF(AND(BonusFlag="あり",MOD(A104,6)=0,C104-F104&gt;0),MIN(BonusAmount,C104-F104),0)</f>
      </c>
      <c r="H104" s="10">
        <f>MAX(C104-F104-G104,0)</f>
      </c>
      <c r="I104" s="10">
        <f>I103+D104+G104</f>
      </c>
      <c r="J104" s="10">
        <f>J103+E104</f>
      </c>
      <c r="K104" s="10">
        <f>K103+F104+G104</f>
      </c>
    </row>
    <row r="105" spans="1:11" x14ac:dyDescent="0.25">
      <c r="A105">
        <v>103</v>
      </c>
      <c r="B105">
        <f>INT((A105-1)/12)+1</f>
      </c>
      <c r="C105" s="10">
        <f>H104</f>
      </c>
      <c r="D105" s="10">
        <f>IF(C105&lt;=0,0,MIN(-PMT(InterestRate/12,LoanYears*12,LoanAmount),C105+E105))</f>
      </c>
      <c r="E105" s="10">
        <f>IF(C105&gt;0,C105*InterestRate/12,0)</f>
      </c>
      <c r="F105" s="10">
        <f>D105-E105</f>
      </c>
      <c r="G105" s="10">
        <f>IF(AND(BonusFlag="あり",MOD(A105,6)=0,C105-F105&gt;0),MIN(BonusAmount,C105-F105),0)</f>
      </c>
      <c r="H105" s="10">
        <f>MAX(C105-F105-G105,0)</f>
      </c>
      <c r="I105" s="10">
        <f>I104+D105+G105</f>
      </c>
      <c r="J105" s="10">
        <f>J104+E105</f>
      </c>
      <c r="K105" s="10">
        <f>K104+F105+G105</f>
      </c>
    </row>
    <row r="106" spans="1:11" x14ac:dyDescent="0.25">
      <c r="A106">
        <v>104</v>
      </c>
      <c r="B106">
        <f>INT((A106-1)/12)+1</f>
      </c>
      <c r="C106" s="10">
        <f>H105</f>
      </c>
      <c r="D106" s="10">
        <f>IF(C106&lt;=0,0,MIN(-PMT(InterestRate/12,LoanYears*12,LoanAmount),C106+E106))</f>
      </c>
      <c r="E106" s="10">
        <f>IF(C106&gt;0,C106*InterestRate/12,0)</f>
      </c>
      <c r="F106" s="10">
        <f>D106-E106</f>
      </c>
      <c r="G106" s="10">
        <f>IF(AND(BonusFlag="あり",MOD(A106,6)=0,C106-F106&gt;0),MIN(BonusAmount,C106-F106),0)</f>
      </c>
      <c r="H106" s="10">
        <f>MAX(C106-F106-G106,0)</f>
      </c>
      <c r="I106" s="10">
        <f>I105+D106+G106</f>
      </c>
      <c r="J106" s="10">
        <f>J105+E106</f>
      </c>
      <c r="K106" s="10">
        <f>K105+F106+G106</f>
      </c>
    </row>
    <row r="107" spans="1:11" x14ac:dyDescent="0.25">
      <c r="A107">
        <v>105</v>
      </c>
      <c r="B107">
        <f>INT((A107-1)/12)+1</f>
      </c>
      <c r="C107" s="10">
        <f>H106</f>
      </c>
      <c r="D107" s="10">
        <f>IF(C107&lt;=0,0,MIN(-PMT(InterestRate/12,LoanYears*12,LoanAmount),C107+E107))</f>
      </c>
      <c r="E107" s="10">
        <f>IF(C107&gt;0,C107*InterestRate/12,0)</f>
      </c>
      <c r="F107" s="10">
        <f>D107-E107</f>
      </c>
      <c r="G107" s="10">
        <f>IF(AND(BonusFlag="あり",MOD(A107,6)=0,C107-F107&gt;0),MIN(BonusAmount,C107-F107),0)</f>
      </c>
      <c r="H107" s="10">
        <f>MAX(C107-F107-G107,0)</f>
      </c>
      <c r="I107" s="10">
        <f>I106+D107+G107</f>
      </c>
      <c r="J107" s="10">
        <f>J106+E107</f>
      </c>
      <c r="K107" s="10">
        <f>K106+F107+G107</f>
      </c>
    </row>
    <row r="108" spans="1:11" x14ac:dyDescent="0.25">
      <c r="A108">
        <v>106</v>
      </c>
      <c r="B108">
        <f>INT((A108-1)/12)+1</f>
      </c>
      <c r="C108" s="10">
        <f>H107</f>
      </c>
      <c r="D108" s="10">
        <f>IF(C108&lt;=0,0,MIN(-PMT(InterestRate/12,LoanYears*12,LoanAmount),C108+E108))</f>
      </c>
      <c r="E108" s="10">
        <f>IF(C108&gt;0,C108*InterestRate/12,0)</f>
      </c>
      <c r="F108" s="10">
        <f>D108-E108</f>
      </c>
      <c r="G108" s="10">
        <f>IF(AND(BonusFlag="あり",MOD(A108,6)=0,C108-F108&gt;0),MIN(BonusAmount,C108-F108),0)</f>
      </c>
      <c r="H108" s="10">
        <f>MAX(C108-F108-G108,0)</f>
      </c>
      <c r="I108" s="10">
        <f>I107+D108+G108</f>
      </c>
      <c r="J108" s="10">
        <f>J107+E108</f>
      </c>
      <c r="K108" s="10">
        <f>K107+F108+G108</f>
      </c>
    </row>
    <row r="109" spans="1:11" x14ac:dyDescent="0.25">
      <c r="A109">
        <v>107</v>
      </c>
      <c r="B109">
        <f>INT((A109-1)/12)+1</f>
      </c>
      <c r="C109" s="10">
        <f>H108</f>
      </c>
      <c r="D109" s="10">
        <f>IF(C109&lt;=0,0,MIN(-PMT(InterestRate/12,LoanYears*12,LoanAmount),C109+E109))</f>
      </c>
      <c r="E109" s="10">
        <f>IF(C109&gt;0,C109*InterestRate/12,0)</f>
      </c>
      <c r="F109" s="10">
        <f>D109-E109</f>
      </c>
      <c r="G109" s="10">
        <f>IF(AND(BonusFlag="あり",MOD(A109,6)=0,C109-F109&gt;0),MIN(BonusAmount,C109-F109),0)</f>
      </c>
      <c r="H109" s="10">
        <f>MAX(C109-F109-G109,0)</f>
      </c>
      <c r="I109" s="10">
        <f>I108+D109+G109</f>
      </c>
      <c r="J109" s="10">
        <f>J108+E109</f>
      </c>
      <c r="K109" s="10">
        <f>K108+F109+G109</f>
      </c>
    </row>
    <row r="110" spans="1:11" x14ac:dyDescent="0.25">
      <c r="A110">
        <v>108</v>
      </c>
      <c r="B110">
        <f>INT((A110-1)/12)+1</f>
      </c>
      <c r="C110" s="10">
        <f>H109</f>
      </c>
      <c r="D110" s="10">
        <f>IF(C110&lt;=0,0,MIN(-PMT(InterestRate/12,LoanYears*12,LoanAmount),C110+E110))</f>
      </c>
      <c r="E110" s="10">
        <f>IF(C110&gt;0,C110*InterestRate/12,0)</f>
      </c>
      <c r="F110" s="10">
        <f>D110-E110</f>
      </c>
      <c r="G110" s="10">
        <f>IF(AND(BonusFlag="あり",MOD(A110,6)=0,C110-F110&gt;0),MIN(BonusAmount,C110-F110),0)</f>
      </c>
      <c r="H110" s="10">
        <f>MAX(C110-F110-G110,0)</f>
      </c>
      <c r="I110" s="10">
        <f>I109+D110+G110</f>
      </c>
      <c r="J110" s="10">
        <f>J109+E110</f>
      </c>
      <c r="K110" s="10">
        <f>K109+F110+G110</f>
      </c>
    </row>
    <row r="111" spans="1:11" x14ac:dyDescent="0.25">
      <c r="A111">
        <v>109</v>
      </c>
      <c r="B111">
        <f>INT((A111-1)/12)+1</f>
      </c>
      <c r="C111" s="10">
        <f>H110</f>
      </c>
      <c r="D111" s="10">
        <f>IF(C111&lt;=0,0,MIN(-PMT(InterestRate/12,LoanYears*12,LoanAmount),C111+E111))</f>
      </c>
      <c r="E111" s="10">
        <f>IF(C111&gt;0,C111*InterestRate/12,0)</f>
      </c>
      <c r="F111" s="10">
        <f>D111-E111</f>
      </c>
      <c r="G111" s="10">
        <f>IF(AND(BonusFlag="あり",MOD(A111,6)=0,C111-F111&gt;0),MIN(BonusAmount,C111-F111),0)</f>
      </c>
      <c r="H111" s="10">
        <f>MAX(C111-F111-G111,0)</f>
      </c>
      <c r="I111" s="10">
        <f>I110+D111+G111</f>
      </c>
      <c r="J111" s="10">
        <f>J110+E111</f>
      </c>
      <c r="K111" s="10">
        <f>K110+F111+G111</f>
      </c>
    </row>
    <row r="112" spans="1:11" x14ac:dyDescent="0.25">
      <c r="A112">
        <v>110</v>
      </c>
      <c r="B112">
        <f>INT((A112-1)/12)+1</f>
      </c>
      <c r="C112" s="10">
        <f>H111</f>
      </c>
      <c r="D112" s="10">
        <f>IF(C112&lt;=0,0,MIN(-PMT(InterestRate/12,LoanYears*12,LoanAmount),C112+E112))</f>
      </c>
      <c r="E112" s="10">
        <f>IF(C112&gt;0,C112*InterestRate/12,0)</f>
      </c>
      <c r="F112" s="10">
        <f>D112-E112</f>
      </c>
      <c r="G112" s="10">
        <f>IF(AND(BonusFlag="あり",MOD(A112,6)=0,C112-F112&gt;0),MIN(BonusAmount,C112-F112),0)</f>
      </c>
      <c r="H112" s="10">
        <f>MAX(C112-F112-G112,0)</f>
      </c>
      <c r="I112" s="10">
        <f>I111+D112+G112</f>
      </c>
      <c r="J112" s="10">
        <f>J111+E112</f>
      </c>
      <c r="K112" s="10">
        <f>K111+F112+G112</f>
      </c>
    </row>
    <row r="113" spans="1:11" x14ac:dyDescent="0.25">
      <c r="A113">
        <v>111</v>
      </c>
      <c r="B113">
        <f>INT((A113-1)/12)+1</f>
      </c>
      <c r="C113" s="10">
        <f>H112</f>
      </c>
      <c r="D113" s="10">
        <f>IF(C113&lt;=0,0,MIN(-PMT(InterestRate/12,LoanYears*12,LoanAmount),C113+E113))</f>
      </c>
      <c r="E113" s="10">
        <f>IF(C113&gt;0,C113*InterestRate/12,0)</f>
      </c>
      <c r="F113" s="10">
        <f>D113-E113</f>
      </c>
      <c r="G113" s="10">
        <f>IF(AND(BonusFlag="あり",MOD(A113,6)=0,C113-F113&gt;0),MIN(BonusAmount,C113-F113),0)</f>
      </c>
      <c r="H113" s="10">
        <f>MAX(C113-F113-G113,0)</f>
      </c>
      <c r="I113" s="10">
        <f>I112+D113+G113</f>
      </c>
      <c r="J113" s="10">
        <f>J112+E113</f>
      </c>
      <c r="K113" s="10">
        <f>K112+F113+G113</f>
      </c>
    </row>
    <row r="114" spans="1:11" x14ac:dyDescent="0.25">
      <c r="A114">
        <v>112</v>
      </c>
      <c r="B114">
        <f>INT((A114-1)/12)+1</f>
      </c>
      <c r="C114" s="10">
        <f>H113</f>
      </c>
      <c r="D114" s="10">
        <f>IF(C114&lt;=0,0,MIN(-PMT(InterestRate/12,LoanYears*12,LoanAmount),C114+E114))</f>
      </c>
      <c r="E114" s="10">
        <f>IF(C114&gt;0,C114*InterestRate/12,0)</f>
      </c>
      <c r="F114" s="10">
        <f>D114-E114</f>
      </c>
      <c r="G114" s="10">
        <f>IF(AND(BonusFlag="あり",MOD(A114,6)=0,C114-F114&gt;0),MIN(BonusAmount,C114-F114),0)</f>
      </c>
      <c r="H114" s="10">
        <f>MAX(C114-F114-G114,0)</f>
      </c>
      <c r="I114" s="10">
        <f>I113+D114+G114</f>
      </c>
      <c r="J114" s="10">
        <f>J113+E114</f>
      </c>
      <c r="K114" s="10">
        <f>K113+F114+G114</f>
      </c>
    </row>
    <row r="115" spans="1:11" x14ac:dyDescent="0.25">
      <c r="A115">
        <v>113</v>
      </c>
      <c r="B115">
        <f>INT((A115-1)/12)+1</f>
      </c>
      <c r="C115" s="10">
        <f>H114</f>
      </c>
      <c r="D115" s="10">
        <f>IF(C115&lt;=0,0,MIN(-PMT(InterestRate/12,LoanYears*12,LoanAmount),C115+E115))</f>
      </c>
      <c r="E115" s="10">
        <f>IF(C115&gt;0,C115*InterestRate/12,0)</f>
      </c>
      <c r="F115" s="10">
        <f>D115-E115</f>
      </c>
      <c r="G115" s="10">
        <f>IF(AND(BonusFlag="あり",MOD(A115,6)=0,C115-F115&gt;0),MIN(BonusAmount,C115-F115),0)</f>
      </c>
      <c r="H115" s="10">
        <f>MAX(C115-F115-G115,0)</f>
      </c>
      <c r="I115" s="10">
        <f>I114+D115+G115</f>
      </c>
      <c r="J115" s="10">
        <f>J114+E115</f>
      </c>
      <c r="K115" s="10">
        <f>K114+F115+G115</f>
      </c>
    </row>
    <row r="116" spans="1:11" x14ac:dyDescent="0.25">
      <c r="A116">
        <v>114</v>
      </c>
      <c r="B116">
        <f>INT((A116-1)/12)+1</f>
      </c>
      <c r="C116" s="10">
        <f>H115</f>
      </c>
      <c r="D116" s="10">
        <f>IF(C116&lt;=0,0,MIN(-PMT(InterestRate/12,LoanYears*12,LoanAmount),C116+E116))</f>
      </c>
      <c r="E116" s="10">
        <f>IF(C116&gt;0,C116*InterestRate/12,0)</f>
      </c>
      <c r="F116" s="10">
        <f>D116-E116</f>
      </c>
      <c r="G116" s="10">
        <f>IF(AND(BonusFlag="あり",MOD(A116,6)=0,C116-F116&gt;0),MIN(BonusAmount,C116-F116),0)</f>
      </c>
      <c r="H116" s="10">
        <f>MAX(C116-F116-G116,0)</f>
      </c>
      <c r="I116" s="10">
        <f>I115+D116+G116</f>
      </c>
      <c r="J116" s="10">
        <f>J115+E116</f>
      </c>
      <c r="K116" s="10">
        <f>K115+F116+G116</f>
      </c>
    </row>
    <row r="117" spans="1:11" x14ac:dyDescent="0.25">
      <c r="A117">
        <v>115</v>
      </c>
      <c r="B117">
        <f>INT((A117-1)/12)+1</f>
      </c>
      <c r="C117" s="10">
        <f>H116</f>
      </c>
      <c r="D117" s="10">
        <f>IF(C117&lt;=0,0,MIN(-PMT(InterestRate/12,LoanYears*12,LoanAmount),C117+E117))</f>
      </c>
      <c r="E117" s="10">
        <f>IF(C117&gt;0,C117*InterestRate/12,0)</f>
      </c>
      <c r="F117" s="10">
        <f>D117-E117</f>
      </c>
      <c r="G117" s="10">
        <f>IF(AND(BonusFlag="あり",MOD(A117,6)=0,C117-F117&gt;0),MIN(BonusAmount,C117-F117),0)</f>
      </c>
      <c r="H117" s="10">
        <f>MAX(C117-F117-G117,0)</f>
      </c>
      <c r="I117" s="10">
        <f>I116+D117+G117</f>
      </c>
      <c r="J117" s="10">
        <f>J116+E117</f>
      </c>
      <c r="K117" s="10">
        <f>K116+F117+G117</f>
      </c>
    </row>
    <row r="118" spans="1:11" x14ac:dyDescent="0.25">
      <c r="A118">
        <v>116</v>
      </c>
      <c r="B118">
        <f>INT((A118-1)/12)+1</f>
      </c>
      <c r="C118" s="10">
        <f>H117</f>
      </c>
      <c r="D118" s="10">
        <f>IF(C118&lt;=0,0,MIN(-PMT(InterestRate/12,LoanYears*12,LoanAmount),C118+E118))</f>
      </c>
      <c r="E118" s="10">
        <f>IF(C118&gt;0,C118*InterestRate/12,0)</f>
      </c>
      <c r="F118" s="10">
        <f>D118-E118</f>
      </c>
      <c r="G118" s="10">
        <f>IF(AND(BonusFlag="あり",MOD(A118,6)=0,C118-F118&gt;0),MIN(BonusAmount,C118-F118),0)</f>
      </c>
      <c r="H118" s="10">
        <f>MAX(C118-F118-G118,0)</f>
      </c>
      <c r="I118" s="10">
        <f>I117+D118+G118</f>
      </c>
      <c r="J118" s="10">
        <f>J117+E118</f>
      </c>
      <c r="K118" s="10">
        <f>K117+F118+G118</f>
      </c>
    </row>
    <row r="119" spans="1:11" x14ac:dyDescent="0.25">
      <c r="A119">
        <v>117</v>
      </c>
      <c r="B119">
        <f>INT((A119-1)/12)+1</f>
      </c>
      <c r="C119" s="10">
        <f>H118</f>
      </c>
      <c r="D119" s="10">
        <f>IF(C119&lt;=0,0,MIN(-PMT(InterestRate/12,LoanYears*12,LoanAmount),C119+E119))</f>
      </c>
      <c r="E119" s="10">
        <f>IF(C119&gt;0,C119*InterestRate/12,0)</f>
      </c>
      <c r="F119" s="10">
        <f>D119-E119</f>
      </c>
      <c r="G119" s="10">
        <f>IF(AND(BonusFlag="あり",MOD(A119,6)=0,C119-F119&gt;0),MIN(BonusAmount,C119-F119),0)</f>
      </c>
      <c r="H119" s="10">
        <f>MAX(C119-F119-G119,0)</f>
      </c>
      <c r="I119" s="10">
        <f>I118+D119+G119</f>
      </c>
      <c r="J119" s="10">
        <f>J118+E119</f>
      </c>
      <c r="K119" s="10">
        <f>K118+F119+G119</f>
      </c>
    </row>
    <row r="120" spans="1:11" x14ac:dyDescent="0.25">
      <c r="A120">
        <v>118</v>
      </c>
      <c r="B120">
        <f>INT((A120-1)/12)+1</f>
      </c>
      <c r="C120" s="10">
        <f>H119</f>
      </c>
      <c r="D120" s="10">
        <f>IF(C120&lt;=0,0,MIN(-PMT(InterestRate/12,LoanYears*12,LoanAmount),C120+E120))</f>
      </c>
      <c r="E120" s="10">
        <f>IF(C120&gt;0,C120*InterestRate/12,0)</f>
      </c>
      <c r="F120" s="10">
        <f>D120-E120</f>
      </c>
      <c r="G120" s="10">
        <f>IF(AND(BonusFlag="あり",MOD(A120,6)=0,C120-F120&gt;0),MIN(BonusAmount,C120-F120),0)</f>
      </c>
      <c r="H120" s="10">
        <f>MAX(C120-F120-G120,0)</f>
      </c>
      <c r="I120" s="10">
        <f>I119+D120+G120</f>
      </c>
      <c r="J120" s="10">
        <f>J119+E120</f>
      </c>
      <c r="K120" s="10">
        <f>K119+F120+G120</f>
      </c>
    </row>
    <row r="121" spans="1:11" x14ac:dyDescent="0.25">
      <c r="A121">
        <v>119</v>
      </c>
      <c r="B121">
        <f>INT((A121-1)/12)+1</f>
      </c>
      <c r="C121" s="10">
        <f>H120</f>
      </c>
      <c r="D121" s="10">
        <f>IF(C121&lt;=0,0,MIN(-PMT(InterestRate/12,LoanYears*12,LoanAmount),C121+E121))</f>
      </c>
      <c r="E121" s="10">
        <f>IF(C121&gt;0,C121*InterestRate/12,0)</f>
      </c>
      <c r="F121" s="10">
        <f>D121-E121</f>
      </c>
      <c r="G121" s="10">
        <f>IF(AND(BonusFlag="あり",MOD(A121,6)=0,C121-F121&gt;0),MIN(BonusAmount,C121-F121),0)</f>
      </c>
      <c r="H121" s="10">
        <f>MAX(C121-F121-G121,0)</f>
      </c>
      <c r="I121" s="10">
        <f>I120+D121+G121</f>
      </c>
      <c r="J121" s="10">
        <f>J120+E121</f>
      </c>
      <c r="K121" s="10">
        <f>K120+F121+G121</f>
      </c>
    </row>
    <row r="122" spans="1:11" x14ac:dyDescent="0.25">
      <c r="A122">
        <v>120</v>
      </c>
      <c r="B122">
        <f>INT((A122-1)/12)+1</f>
      </c>
      <c r="C122" s="10">
        <f>H121</f>
      </c>
      <c r="D122" s="10">
        <f>IF(C122&lt;=0,0,MIN(-PMT(InterestRate/12,LoanYears*12,LoanAmount),C122+E122))</f>
      </c>
      <c r="E122" s="10">
        <f>IF(C122&gt;0,C122*InterestRate/12,0)</f>
      </c>
      <c r="F122" s="10">
        <f>D122-E122</f>
      </c>
      <c r="G122" s="10">
        <f>IF(AND(BonusFlag="あり",MOD(A122,6)=0,C122-F122&gt;0),MIN(BonusAmount,C122-F122),0)</f>
      </c>
      <c r="H122" s="10">
        <f>MAX(C122-F122-G122,0)</f>
      </c>
      <c r="I122" s="10">
        <f>I121+D122+G122</f>
      </c>
      <c r="J122" s="10">
        <f>J121+E122</f>
      </c>
      <c r="K122" s="10">
        <f>K121+F122+G122</f>
      </c>
    </row>
    <row r="123" spans="1:11" x14ac:dyDescent="0.25">
      <c r="A123">
        <v>121</v>
      </c>
      <c r="B123">
        <f>INT((A123-1)/12)+1</f>
      </c>
      <c r="C123" s="10">
        <f>H122</f>
      </c>
      <c r="D123" s="10">
        <f>IF(C123&lt;=0,0,MIN(-PMT(InterestRate/12,LoanYears*12,LoanAmount),C123+E123))</f>
      </c>
      <c r="E123" s="10">
        <f>IF(C123&gt;0,C123*InterestRate/12,0)</f>
      </c>
      <c r="F123" s="10">
        <f>D123-E123</f>
      </c>
      <c r="G123" s="10">
        <f>IF(AND(BonusFlag="あり",MOD(A123,6)=0,C123-F123&gt;0),MIN(BonusAmount,C123-F123),0)</f>
      </c>
      <c r="H123" s="10">
        <f>MAX(C123-F123-G123,0)</f>
      </c>
      <c r="I123" s="10">
        <f>I122+D123+G123</f>
      </c>
      <c r="J123" s="10">
        <f>J122+E123</f>
      </c>
      <c r="K123" s="10">
        <f>K122+F123+G123</f>
      </c>
    </row>
    <row r="124" spans="1:11" x14ac:dyDescent="0.25">
      <c r="A124">
        <v>122</v>
      </c>
      <c r="B124">
        <f>INT((A124-1)/12)+1</f>
      </c>
      <c r="C124" s="10">
        <f>H123</f>
      </c>
      <c r="D124" s="10">
        <f>IF(C124&lt;=0,0,MIN(-PMT(InterestRate/12,LoanYears*12,LoanAmount),C124+E124))</f>
      </c>
      <c r="E124" s="10">
        <f>IF(C124&gt;0,C124*InterestRate/12,0)</f>
      </c>
      <c r="F124" s="10">
        <f>D124-E124</f>
      </c>
      <c r="G124" s="10">
        <f>IF(AND(BonusFlag="あり",MOD(A124,6)=0,C124-F124&gt;0),MIN(BonusAmount,C124-F124),0)</f>
      </c>
      <c r="H124" s="10">
        <f>MAX(C124-F124-G124,0)</f>
      </c>
      <c r="I124" s="10">
        <f>I123+D124+G124</f>
      </c>
      <c r="J124" s="10">
        <f>J123+E124</f>
      </c>
      <c r="K124" s="10">
        <f>K123+F124+G124</f>
      </c>
    </row>
    <row r="125" spans="1:11" x14ac:dyDescent="0.25">
      <c r="A125">
        <v>123</v>
      </c>
      <c r="B125">
        <f>INT((A125-1)/12)+1</f>
      </c>
      <c r="C125" s="10">
        <f>H124</f>
      </c>
      <c r="D125" s="10">
        <f>IF(C125&lt;=0,0,MIN(-PMT(InterestRate/12,LoanYears*12,LoanAmount),C125+E125))</f>
      </c>
      <c r="E125" s="10">
        <f>IF(C125&gt;0,C125*InterestRate/12,0)</f>
      </c>
      <c r="F125" s="10">
        <f>D125-E125</f>
      </c>
      <c r="G125" s="10">
        <f>IF(AND(BonusFlag="あり",MOD(A125,6)=0,C125-F125&gt;0),MIN(BonusAmount,C125-F125),0)</f>
      </c>
      <c r="H125" s="10">
        <f>MAX(C125-F125-G125,0)</f>
      </c>
      <c r="I125" s="10">
        <f>I124+D125+G125</f>
      </c>
      <c r="J125" s="10">
        <f>J124+E125</f>
      </c>
      <c r="K125" s="10">
        <f>K124+F125+G125</f>
      </c>
    </row>
    <row r="126" spans="1:11" x14ac:dyDescent="0.25">
      <c r="A126">
        <v>124</v>
      </c>
      <c r="B126">
        <f>INT((A126-1)/12)+1</f>
      </c>
      <c r="C126" s="10">
        <f>H125</f>
      </c>
      <c r="D126" s="10">
        <f>IF(C126&lt;=0,0,MIN(-PMT(InterestRate/12,LoanYears*12,LoanAmount),C126+E126))</f>
      </c>
      <c r="E126" s="10">
        <f>IF(C126&gt;0,C126*InterestRate/12,0)</f>
      </c>
      <c r="F126" s="10">
        <f>D126-E126</f>
      </c>
      <c r="G126" s="10">
        <f>IF(AND(BonusFlag="あり",MOD(A126,6)=0,C126-F126&gt;0),MIN(BonusAmount,C126-F126),0)</f>
      </c>
      <c r="H126" s="10">
        <f>MAX(C126-F126-G126,0)</f>
      </c>
      <c r="I126" s="10">
        <f>I125+D126+G126</f>
      </c>
      <c r="J126" s="10">
        <f>J125+E126</f>
      </c>
      <c r="K126" s="10">
        <f>K125+F126+G126</f>
      </c>
    </row>
    <row r="127" spans="1:11" x14ac:dyDescent="0.25">
      <c r="A127">
        <v>125</v>
      </c>
      <c r="B127">
        <f>INT((A127-1)/12)+1</f>
      </c>
      <c r="C127" s="10">
        <f>H126</f>
      </c>
      <c r="D127" s="10">
        <f>IF(C127&lt;=0,0,MIN(-PMT(InterestRate/12,LoanYears*12,LoanAmount),C127+E127))</f>
      </c>
      <c r="E127" s="10">
        <f>IF(C127&gt;0,C127*InterestRate/12,0)</f>
      </c>
      <c r="F127" s="10">
        <f>D127-E127</f>
      </c>
      <c r="G127" s="10">
        <f>IF(AND(BonusFlag="あり",MOD(A127,6)=0,C127-F127&gt;0),MIN(BonusAmount,C127-F127),0)</f>
      </c>
      <c r="H127" s="10">
        <f>MAX(C127-F127-G127,0)</f>
      </c>
      <c r="I127" s="10">
        <f>I126+D127+G127</f>
      </c>
      <c r="J127" s="10">
        <f>J126+E127</f>
      </c>
      <c r="K127" s="10">
        <f>K126+F127+G127</f>
      </c>
    </row>
    <row r="128" spans="1:11" x14ac:dyDescent="0.25">
      <c r="A128">
        <v>126</v>
      </c>
      <c r="B128">
        <f>INT((A128-1)/12)+1</f>
      </c>
      <c r="C128" s="10">
        <f>H127</f>
      </c>
      <c r="D128" s="10">
        <f>IF(C128&lt;=0,0,MIN(-PMT(InterestRate/12,LoanYears*12,LoanAmount),C128+E128))</f>
      </c>
      <c r="E128" s="10">
        <f>IF(C128&gt;0,C128*InterestRate/12,0)</f>
      </c>
      <c r="F128" s="10">
        <f>D128-E128</f>
      </c>
      <c r="G128" s="10">
        <f>IF(AND(BonusFlag="あり",MOD(A128,6)=0,C128-F128&gt;0),MIN(BonusAmount,C128-F128),0)</f>
      </c>
      <c r="H128" s="10">
        <f>MAX(C128-F128-G128,0)</f>
      </c>
      <c r="I128" s="10">
        <f>I127+D128+G128</f>
      </c>
      <c r="J128" s="10">
        <f>J127+E128</f>
      </c>
      <c r="K128" s="10">
        <f>K127+F128+G128</f>
      </c>
    </row>
    <row r="129" spans="1:11" x14ac:dyDescent="0.25">
      <c r="A129">
        <v>127</v>
      </c>
      <c r="B129">
        <f>INT((A129-1)/12)+1</f>
      </c>
      <c r="C129" s="10">
        <f>H128</f>
      </c>
      <c r="D129" s="10">
        <f>IF(C129&lt;=0,0,MIN(-PMT(InterestRate/12,LoanYears*12,LoanAmount),C129+E129))</f>
      </c>
      <c r="E129" s="10">
        <f>IF(C129&gt;0,C129*InterestRate/12,0)</f>
      </c>
      <c r="F129" s="10">
        <f>D129-E129</f>
      </c>
      <c r="G129" s="10">
        <f>IF(AND(BonusFlag="あり",MOD(A129,6)=0,C129-F129&gt;0),MIN(BonusAmount,C129-F129),0)</f>
      </c>
      <c r="H129" s="10">
        <f>MAX(C129-F129-G129,0)</f>
      </c>
      <c r="I129" s="10">
        <f>I128+D129+G129</f>
      </c>
      <c r="J129" s="10">
        <f>J128+E129</f>
      </c>
      <c r="K129" s="10">
        <f>K128+F129+G129</f>
      </c>
    </row>
    <row r="130" spans="1:11" x14ac:dyDescent="0.25">
      <c r="A130">
        <v>128</v>
      </c>
      <c r="B130">
        <f>INT((A130-1)/12)+1</f>
      </c>
      <c r="C130" s="10">
        <f>H129</f>
      </c>
      <c r="D130" s="10">
        <f>IF(C130&lt;=0,0,MIN(-PMT(InterestRate/12,LoanYears*12,LoanAmount),C130+E130))</f>
      </c>
      <c r="E130" s="10">
        <f>IF(C130&gt;0,C130*InterestRate/12,0)</f>
      </c>
      <c r="F130" s="10">
        <f>D130-E130</f>
      </c>
      <c r="G130" s="10">
        <f>IF(AND(BonusFlag="あり",MOD(A130,6)=0,C130-F130&gt;0),MIN(BonusAmount,C130-F130),0)</f>
      </c>
      <c r="H130" s="10">
        <f>MAX(C130-F130-G130,0)</f>
      </c>
      <c r="I130" s="10">
        <f>I129+D130+G130</f>
      </c>
      <c r="J130" s="10">
        <f>J129+E130</f>
      </c>
      <c r="K130" s="10">
        <f>K129+F130+G130</f>
      </c>
    </row>
    <row r="131" spans="1:11" x14ac:dyDescent="0.25">
      <c r="A131">
        <v>129</v>
      </c>
      <c r="B131">
        <f>INT((A131-1)/12)+1</f>
      </c>
      <c r="C131" s="10">
        <f>H130</f>
      </c>
      <c r="D131" s="10">
        <f>IF(C131&lt;=0,0,MIN(-PMT(InterestRate/12,LoanYears*12,LoanAmount),C131+E131))</f>
      </c>
      <c r="E131" s="10">
        <f>IF(C131&gt;0,C131*InterestRate/12,0)</f>
      </c>
      <c r="F131" s="10">
        <f>D131-E131</f>
      </c>
      <c r="G131" s="10">
        <f>IF(AND(BonusFlag="あり",MOD(A131,6)=0,C131-F131&gt;0),MIN(BonusAmount,C131-F131),0)</f>
      </c>
      <c r="H131" s="10">
        <f>MAX(C131-F131-G131,0)</f>
      </c>
      <c r="I131" s="10">
        <f>I130+D131+G131</f>
      </c>
      <c r="J131" s="10">
        <f>J130+E131</f>
      </c>
      <c r="K131" s="10">
        <f>K130+F131+G131</f>
      </c>
    </row>
    <row r="132" spans="1:11" x14ac:dyDescent="0.25">
      <c r="A132">
        <v>130</v>
      </c>
      <c r="B132">
        <f>INT((A132-1)/12)+1</f>
      </c>
      <c r="C132" s="10">
        <f>H131</f>
      </c>
      <c r="D132" s="10">
        <f>IF(C132&lt;=0,0,MIN(-PMT(InterestRate/12,LoanYears*12,LoanAmount),C132+E132))</f>
      </c>
      <c r="E132" s="10">
        <f>IF(C132&gt;0,C132*InterestRate/12,0)</f>
      </c>
      <c r="F132" s="10">
        <f>D132-E132</f>
      </c>
      <c r="G132" s="10">
        <f>IF(AND(BonusFlag="あり",MOD(A132,6)=0,C132-F132&gt;0),MIN(BonusAmount,C132-F132),0)</f>
      </c>
      <c r="H132" s="10">
        <f>MAX(C132-F132-G132,0)</f>
      </c>
      <c r="I132" s="10">
        <f>I131+D132+G132</f>
      </c>
      <c r="J132" s="10">
        <f>J131+E132</f>
      </c>
      <c r="K132" s="10">
        <f>K131+F132+G132</f>
      </c>
    </row>
    <row r="133" spans="1:11" x14ac:dyDescent="0.25">
      <c r="A133">
        <v>131</v>
      </c>
      <c r="B133">
        <f>INT((A133-1)/12)+1</f>
      </c>
      <c r="C133" s="10">
        <f>H132</f>
      </c>
      <c r="D133" s="10">
        <f>IF(C133&lt;=0,0,MIN(-PMT(InterestRate/12,LoanYears*12,LoanAmount),C133+E133))</f>
      </c>
      <c r="E133" s="10">
        <f>IF(C133&gt;0,C133*InterestRate/12,0)</f>
      </c>
      <c r="F133" s="10">
        <f>D133-E133</f>
      </c>
      <c r="G133" s="10">
        <f>IF(AND(BonusFlag="あり",MOD(A133,6)=0,C133-F133&gt;0),MIN(BonusAmount,C133-F133),0)</f>
      </c>
      <c r="H133" s="10">
        <f>MAX(C133-F133-G133,0)</f>
      </c>
      <c r="I133" s="10">
        <f>I132+D133+G133</f>
      </c>
      <c r="J133" s="10">
        <f>J132+E133</f>
      </c>
      <c r="K133" s="10">
        <f>K132+F133+G133</f>
      </c>
    </row>
    <row r="134" spans="1:11" x14ac:dyDescent="0.25">
      <c r="A134">
        <v>132</v>
      </c>
      <c r="B134">
        <f>INT((A134-1)/12)+1</f>
      </c>
      <c r="C134" s="10">
        <f>H133</f>
      </c>
      <c r="D134" s="10">
        <f>IF(C134&lt;=0,0,MIN(-PMT(InterestRate/12,LoanYears*12,LoanAmount),C134+E134))</f>
      </c>
      <c r="E134" s="10">
        <f>IF(C134&gt;0,C134*InterestRate/12,0)</f>
      </c>
      <c r="F134" s="10">
        <f>D134-E134</f>
      </c>
      <c r="G134" s="10">
        <f>IF(AND(BonusFlag="あり",MOD(A134,6)=0,C134-F134&gt;0),MIN(BonusAmount,C134-F134),0)</f>
      </c>
      <c r="H134" s="10">
        <f>MAX(C134-F134-G134,0)</f>
      </c>
      <c r="I134" s="10">
        <f>I133+D134+G134</f>
      </c>
      <c r="J134" s="10">
        <f>J133+E134</f>
      </c>
      <c r="K134" s="10">
        <f>K133+F134+G134</f>
      </c>
    </row>
    <row r="135" spans="1:11" x14ac:dyDescent="0.25">
      <c r="A135">
        <v>133</v>
      </c>
      <c r="B135">
        <f>INT((A135-1)/12)+1</f>
      </c>
      <c r="C135" s="10">
        <f>H134</f>
      </c>
      <c r="D135" s="10">
        <f>IF(C135&lt;=0,0,MIN(-PMT(InterestRate/12,LoanYears*12,LoanAmount),C135+E135))</f>
      </c>
      <c r="E135" s="10">
        <f>IF(C135&gt;0,C135*InterestRate/12,0)</f>
      </c>
      <c r="F135" s="10">
        <f>D135-E135</f>
      </c>
      <c r="G135" s="10">
        <f>IF(AND(BonusFlag="あり",MOD(A135,6)=0,C135-F135&gt;0),MIN(BonusAmount,C135-F135),0)</f>
      </c>
      <c r="H135" s="10">
        <f>MAX(C135-F135-G135,0)</f>
      </c>
      <c r="I135" s="10">
        <f>I134+D135+G135</f>
      </c>
      <c r="J135" s="10">
        <f>J134+E135</f>
      </c>
      <c r="K135" s="10">
        <f>K134+F135+G135</f>
      </c>
    </row>
    <row r="136" spans="1:11" x14ac:dyDescent="0.25">
      <c r="A136">
        <v>134</v>
      </c>
      <c r="B136">
        <f>INT((A136-1)/12)+1</f>
      </c>
      <c r="C136" s="10">
        <f>H135</f>
      </c>
      <c r="D136" s="10">
        <f>IF(C136&lt;=0,0,MIN(-PMT(InterestRate/12,LoanYears*12,LoanAmount),C136+E136))</f>
      </c>
      <c r="E136" s="10">
        <f>IF(C136&gt;0,C136*InterestRate/12,0)</f>
      </c>
      <c r="F136" s="10">
        <f>D136-E136</f>
      </c>
      <c r="G136" s="10">
        <f>IF(AND(BonusFlag="あり",MOD(A136,6)=0,C136-F136&gt;0),MIN(BonusAmount,C136-F136),0)</f>
      </c>
      <c r="H136" s="10">
        <f>MAX(C136-F136-G136,0)</f>
      </c>
      <c r="I136" s="10">
        <f>I135+D136+G136</f>
      </c>
      <c r="J136" s="10">
        <f>J135+E136</f>
      </c>
      <c r="K136" s="10">
        <f>K135+F136+G136</f>
      </c>
    </row>
    <row r="137" spans="1:11" x14ac:dyDescent="0.25">
      <c r="A137">
        <v>135</v>
      </c>
      <c r="B137">
        <f>INT((A137-1)/12)+1</f>
      </c>
      <c r="C137" s="10">
        <f>H136</f>
      </c>
      <c r="D137" s="10">
        <f>IF(C137&lt;=0,0,MIN(-PMT(InterestRate/12,LoanYears*12,LoanAmount),C137+E137))</f>
      </c>
      <c r="E137" s="10">
        <f>IF(C137&gt;0,C137*InterestRate/12,0)</f>
      </c>
      <c r="F137" s="10">
        <f>D137-E137</f>
      </c>
      <c r="G137" s="10">
        <f>IF(AND(BonusFlag="あり",MOD(A137,6)=0,C137-F137&gt;0),MIN(BonusAmount,C137-F137),0)</f>
      </c>
      <c r="H137" s="10">
        <f>MAX(C137-F137-G137,0)</f>
      </c>
      <c r="I137" s="10">
        <f>I136+D137+G137</f>
      </c>
      <c r="J137" s="10">
        <f>J136+E137</f>
      </c>
      <c r="K137" s="10">
        <f>K136+F137+G137</f>
      </c>
    </row>
    <row r="138" spans="1:11" x14ac:dyDescent="0.25">
      <c r="A138">
        <v>136</v>
      </c>
      <c r="B138">
        <f>INT((A138-1)/12)+1</f>
      </c>
      <c r="C138" s="10">
        <f>H137</f>
      </c>
      <c r="D138" s="10">
        <f>IF(C138&lt;=0,0,MIN(-PMT(InterestRate/12,LoanYears*12,LoanAmount),C138+E138))</f>
      </c>
      <c r="E138" s="10">
        <f>IF(C138&gt;0,C138*InterestRate/12,0)</f>
      </c>
      <c r="F138" s="10">
        <f>D138-E138</f>
      </c>
      <c r="G138" s="10">
        <f>IF(AND(BonusFlag="あり",MOD(A138,6)=0,C138-F138&gt;0),MIN(BonusAmount,C138-F138),0)</f>
      </c>
      <c r="H138" s="10">
        <f>MAX(C138-F138-G138,0)</f>
      </c>
      <c r="I138" s="10">
        <f>I137+D138+G138</f>
      </c>
      <c r="J138" s="10">
        <f>J137+E138</f>
      </c>
      <c r="K138" s="10">
        <f>K137+F138+G138</f>
      </c>
    </row>
    <row r="139" spans="1:11" x14ac:dyDescent="0.25">
      <c r="A139">
        <v>137</v>
      </c>
      <c r="B139">
        <f>INT((A139-1)/12)+1</f>
      </c>
      <c r="C139" s="10">
        <f>H138</f>
      </c>
      <c r="D139" s="10">
        <f>IF(C139&lt;=0,0,MIN(-PMT(InterestRate/12,LoanYears*12,LoanAmount),C139+E139))</f>
      </c>
      <c r="E139" s="10">
        <f>IF(C139&gt;0,C139*InterestRate/12,0)</f>
      </c>
      <c r="F139" s="10">
        <f>D139-E139</f>
      </c>
      <c r="G139" s="10">
        <f>IF(AND(BonusFlag="あり",MOD(A139,6)=0,C139-F139&gt;0),MIN(BonusAmount,C139-F139),0)</f>
      </c>
      <c r="H139" s="10">
        <f>MAX(C139-F139-G139,0)</f>
      </c>
      <c r="I139" s="10">
        <f>I138+D139+G139</f>
      </c>
      <c r="J139" s="10">
        <f>J138+E139</f>
      </c>
      <c r="K139" s="10">
        <f>K138+F139+G139</f>
      </c>
    </row>
    <row r="140" spans="1:11" x14ac:dyDescent="0.25">
      <c r="A140">
        <v>138</v>
      </c>
      <c r="B140">
        <f>INT((A140-1)/12)+1</f>
      </c>
      <c r="C140" s="10">
        <f>H139</f>
      </c>
      <c r="D140" s="10">
        <f>IF(C140&lt;=0,0,MIN(-PMT(InterestRate/12,LoanYears*12,LoanAmount),C140+E140))</f>
      </c>
      <c r="E140" s="10">
        <f>IF(C140&gt;0,C140*InterestRate/12,0)</f>
      </c>
      <c r="F140" s="10">
        <f>D140-E140</f>
      </c>
      <c r="G140" s="10">
        <f>IF(AND(BonusFlag="あり",MOD(A140,6)=0,C140-F140&gt;0),MIN(BonusAmount,C140-F140),0)</f>
      </c>
      <c r="H140" s="10">
        <f>MAX(C140-F140-G140,0)</f>
      </c>
      <c r="I140" s="10">
        <f>I139+D140+G140</f>
      </c>
      <c r="J140" s="10">
        <f>J139+E140</f>
      </c>
      <c r="K140" s="10">
        <f>K139+F140+G140</f>
      </c>
    </row>
    <row r="141" spans="1:11" x14ac:dyDescent="0.25">
      <c r="A141">
        <v>139</v>
      </c>
      <c r="B141">
        <f>INT((A141-1)/12)+1</f>
      </c>
      <c r="C141" s="10">
        <f>H140</f>
      </c>
      <c r="D141" s="10">
        <f>IF(C141&lt;=0,0,MIN(-PMT(InterestRate/12,LoanYears*12,LoanAmount),C141+E141))</f>
      </c>
      <c r="E141" s="10">
        <f>IF(C141&gt;0,C141*InterestRate/12,0)</f>
      </c>
      <c r="F141" s="10">
        <f>D141-E141</f>
      </c>
      <c r="G141" s="10">
        <f>IF(AND(BonusFlag="あり",MOD(A141,6)=0,C141-F141&gt;0),MIN(BonusAmount,C141-F141),0)</f>
      </c>
      <c r="H141" s="10">
        <f>MAX(C141-F141-G141,0)</f>
      </c>
      <c r="I141" s="10">
        <f>I140+D141+G141</f>
      </c>
      <c r="J141" s="10">
        <f>J140+E141</f>
      </c>
      <c r="K141" s="10">
        <f>K140+F141+G141</f>
      </c>
    </row>
    <row r="142" spans="1:11" x14ac:dyDescent="0.25">
      <c r="A142">
        <v>140</v>
      </c>
      <c r="B142">
        <f>INT((A142-1)/12)+1</f>
      </c>
      <c r="C142" s="10">
        <f>H141</f>
      </c>
      <c r="D142" s="10">
        <f>IF(C142&lt;=0,0,MIN(-PMT(InterestRate/12,LoanYears*12,LoanAmount),C142+E142))</f>
      </c>
      <c r="E142" s="10">
        <f>IF(C142&gt;0,C142*InterestRate/12,0)</f>
      </c>
      <c r="F142" s="10">
        <f>D142-E142</f>
      </c>
      <c r="G142" s="10">
        <f>IF(AND(BonusFlag="あり",MOD(A142,6)=0,C142-F142&gt;0),MIN(BonusAmount,C142-F142),0)</f>
      </c>
      <c r="H142" s="10">
        <f>MAX(C142-F142-G142,0)</f>
      </c>
      <c r="I142" s="10">
        <f>I141+D142+G142</f>
      </c>
      <c r="J142" s="10">
        <f>J141+E142</f>
      </c>
      <c r="K142" s="10">
        <f>K141+F142+G142</f>
      </c>
    </row>
    <row r="143" spans="1:11" x14ac:dyDescent="0.25">
      <c r="A143">
        <v>141</v>
      </c>
      <c r="B143">
        <f>INT((A143-1)/12)+1</f>
      </c>
      <c r="C143" s="10">
        <f>H142</f>
      </c>
      <c r="D143" s="10">
        <f>IF(C143&lt;=0,0,MIN(-PMT(InterestRate/12,LoanYears*12,LoanAmount),C143+E143))</f>
      </c>
      <c r="E143" s="10">
        <f>IF(C143&gt;0,C143*InterestRate/12,0)</f>
      </c>
      <c r="F143" s="10">
        <f>D143-E143</f>
      </c>
      <c r="G143" s="10">
        <f>IF(AND(BonusFlag="あり",MOD(A143,6)=0,C143-F143&gt;0),MIN(BonusAmount,C143-F143),0)</f>
      </c>
      <c r="H143" s="10">
        <f>MAX(C143-F143-G143,0)</f>
      </c>
      <c r="I143" s="10">
        <f>I142+D143+G143</f>
      </c>
      <c r="J143" s="10">
        <f>J142+E143</f>
      </c>
      <c r="K143" s="10">
        <f>K142+F143+G143</f>
      </c>
    </row>
    <row r="144" spans="1:11" x14ac:dyDescent="0.25">
      <c r="A144">
        <v>142</v>
      </c>
      <c r="B144">
        <f>INT((A144-1)/12)+1</f>
      </c>
      <c r="C144" s="10">
        <f>H143</f>
      </c>
      <c r="D144" s="10">
        <f>IF(C144&lt;=0,0,MIN(-PMT(InterestRate/12,LoanYears*12,LoanAmount),C144+E144))</f>
      </c>
      <c r="E144" s="10">
        <f>IF(C144&gt;0,C144*InterestRate/12,0)</f>
      </c>
      <c r="F144" s="10">
        <f>D144-E144</f>
      </c>
      <c r="G144" s="10">
        <f>IF(AND(BonusFlag="あり",MOD(A144,6)=0,C144-F144&gt;0),MIN(BonusAmount,C144-F144),0)</f>
      </c>
      <c r="H144" s="10">
        <f>MAX(C144-F144-G144,0)</f>
      </c>
      <c r="I144" s="10">
        <f>I143+D144+G144</f>
      </c>
      <c r="J144" s="10">
        <f>J143+E144</f>
      </c>
      <c r="K144" s="10">
        <f>K143+F144+G144</f>
      </c>
    </row>
    <row r="145" spans="1:11" x14ac:dyDescent="0.25">
      <c r="A145">
        <v>143</v>
      </c>
      <c r="B145">
        <f>INT((A145-1)/12)+1</f>
      </c>
      <c r="C145" s="10">
        <f>H144</f>
      </c>
      <c r="D145" s="10">
        <f>IF(C145&lt;=0,0,MIN(-PMT(InterestRate/12,LoanYears*12,LoanAmount),C145+E145))</f>
      </c>
      <c r="E145" s="10">
        <f>IF(C145&gt;0,C145*InterestRate/12,0)</f>
      </c>
      <c r="F145" s="10">
        <f>D145-E145</f>
      </c>
      <c r="G145" s="10">
        <f>IF(AND(BonusFlag="あり",MOD(A145,6)=0,C145-F145&gt;0),MIN(BonusAmount,C145-F145),0)</f>
      </c>
      <c r="H145" s="10">
        <f>MAX(C145-F145-G145,0)</f>
      </c>
      <c r="I145" s="10">
        <f>I144+D145+G145</f>
      </c>
      <c r="J145" s="10">
        <f>J144+E145</f>
      </c>
      <c r="K145" s="10">
        <f>K144+F145+G145</f>
      </c>
    </row>
    <row r="146" spans="1:11" x14ac:dyDescent="0.25">
      <c r="A146">
        <v>144</v>
      </c>
      <c r="B146">
        <f>INT((A146-1)/12)+1</f>
      </c>
      <c r="C146" s="10">
        <f>H145</f>
      </c>
      <c r="D146" s="10">
        <f>IF(C146&lt;=0,0,MIN(-PMT(InterestRate/12,LoanYears*12,LoanAmount),C146+E146))</f>
      </c>
      <c r="E146" s="10">
        <f>IF(C146&gt;0,C146*InterestRate/12,0)</f>
      </c>
      <c r="F146" s="10">
        <f>D146-E146</f>
      </c>
      <c r="G146" s="10">
        <f>IF(AND(BonusFlag="あり",MOD(A146,6)=0,C146-F146&gt;0),MIN(BonusAmount,C146-F146),0)</f>
      </c>
      <c r="H146" s="10">
        <f>MAX(C146-F146-G146,0)</f>
      </c>
      <c r="I146" s="10">
        <f>I145+D146+G146</f>
      </c>
      <c r="J146" s="10">
        <f>J145+E146</f>
      </c>
      <c r="K146" s="10">
        <f>K145+F146+G146</f>
      </c>
    </row>
    <row r="147" spans="1:11" x14ac:dyDescent="0.25">
      <c r="A147">
        <v>145</v>
      </c>
      <c r="B147">
        <f>INT((A147-1)/12)+1</f>
      </c>
      <c r="C147" s="10">
        <f>H146</f>
      </c>
      <c r="D147" s="10">
        <f>IF(C147&lt;=0,0,MIN(-PMT(InterestRate/12,LoanYears*12,LoanAmount),C147+E147))</f>
      </c>
      <c r="E147" s="10">
        <f>IF(C147&gt;0,C147*InterestRate/12,0)</f>
      </c>
      <c r="F147" s="10">
        <f>D147-E147</f>
      </c>
      <c r="G147" s="10">
        <f>IF(AND(BonusFlag="あり",MOD(A147,6)=0,C147-F147&gt;0),MIN(BonusAmount,C147-F147),0)</f>
      </c>
      <c r="H147" s="10">
        <f>MAX(C147-F147-G147,0)</f>
      </c>
      <c r="I147" s="10">
        <f>I146+D147+G147</f>
      </c>
      <c r="J147" s="10">
        <f>J146+E147</f>
      </c>
      <c r="K147" s="10">
        <f>K146+F147+G147</f>
      </c>
    </row>
    <row r="148" spans="1:11" x14ac:dyDescent="0.25">
      <c r="A148">
        <v>146</v>
      </c>
      <c r="B148">
        <f>INT((A148-1)/12)+1</f>
      </c>
      <c r="C148" s="10">
        <f>H147</f>
      </c>
      <c r="D148" s="10">
        <f>IF(C148&lt;=0,0,MIN(-PMT(InterestRate/12,LoanYears*12,LoanAmount),C148+E148))</f>
      </c>
      <c r="E148" s="10">
        <f>IF(C148&gt;0,C148*InterestRate/12,0)</f>
      </c>
      <c r="F148" s="10">
        <f>D148-E148</f>
      </c>
      <c r="G148" s="10">
        <f>IF(AND(BonusFlag="あり",MOD(A148,6)=0,C148-F148&gt;0),MIN(BonusAmount,C148-F148),0)</f>
      </c>
      <c r="H148" s="10">
        <f>MAX(C148-F148-G148,0)</f>
      </c>
      <c r="I148" s="10">
        <f>I147+D148+G148</f>
      </c>
      <c r="J148" s="10">
        <f>J147+E148</f>
      </c>
      <c r="K148" s="10">
        <f>K147+F148+G148</f>
      </c>
    </row>
    <row r="149" spans="1:11" x14ac:dyDescent="0.25">
      <c r="A149">
        <v>147</v>
      </c>
      <c r="B149">
        <f>INT((A149-1)/12)+1</f>
      </c>
      <c r="C149" s="10">
        <f>H148</f>
      </c>
      <c r="D149" s="10">
        <f>IF(C149&lt;=0,0,MIN(-PMT(InterestRate/12,LoanYears*12,LoanAmount),C149+E149))</f>
      </c>
      <c r="E149" s="10">
        <f>IF(C149&gt;0,C149*InterestRate/12,0)</f>
      </c>
      <c r="F149" s="10">
        <f>D149-E149</f>
      </c>
      <c r="G149" s="10">
        <f>IF(AND(BonusFlag="あり",MOD(A149,6)=0,C149-F149&gt;0),MIN(BonusAmount,C149-F149),0)</f>
      </c>
      <c r="H149" s="10">
        <f>MAX(C149-F149-G149,0)</f>
      </c>
      <c r="I149" s="10">
        <f>I148+D149+G149</f>
      </c>
      <c r="J149" s="10">
        <f>J148+E149</f>
      </c>
      <c r="K149" s="10">
        <f>K148+F149+G149</f>
      </c>
    </row>
    <row r="150" spans="1:11" x14ac:dyDescent="0.25">
      <c r="A150">
        <v>148</v>
      </c>
      <c r="B150">
        <f>INT((A150-1)/12)+1</f>
      </c>
      <c r="C150" s="10">
        <f>H149</f>
      </c>
      <c r="D150" s="10">
        <f>IF(C150&lt;=0,0,MIN(-PMT(InterestRate/12,LoanYears*12,LoanAmount),C150+E150))</f>
      </c>
      <c r="E150" s="10">
        <f>IF(C150&gt;0,C150*InterestRate/12,0)</f>
      </c>
      <c r="F150" s="10">
        <f>D150-E150</f>
      </c>
      <c r="G150" s="10">
        <f>IF(AND(BonusFlag="あり",MOD(A150,6)=0,C150-F150&gt;0),MIN(BonusAmount,C150-F150),0)</f>
      </c>
      <c r="H150" s="10">
        <f>MAX(C150-F150-G150,0)</f>
      </c>
      <c r="I150" s="10">
        <f>I149+D150+G150</f>
      </c>
      <c r="J150" s="10">
        <f>J149+E150</f>
      </c>
      <c r="K150" s="10">
        <f>K149+F150+G150</f>
      </c>
    </row>
    <row r="151" spans="1:11" x14ac:dyDescent="0.25">
      <c r="A151">
        <v>149</v>
      </c>
      <c r="B151">
        <f>INT((A151-1)/12)+1</f>
      </c>
      <c r="C151" s="10">
        <f>H150</f>
      </c>
      <c r="D151" s="10">
        <f>IF(C151&lt;=0,0,MIN(-PMT(InterestRate/12,LoanYears*12,LoanAmount),C151+E151))</f>
      </c>
      <c r="E151" s="10">
        <f>IF(C151&gt;0,C151*InterestRate/12,0)</f>
      </c>
      <c r="F151" s="10">
        <f>D151-E151</f>
      </c>
      <c r="G151" s="10">
        <f>IF(AND(BonusFlag="あり",MOD(A151,6)=0,C151-F151&gt;0),MIN(BonusAmount,C151-F151),0)</f>
      </c>
      <c r="H151" s="10">
        <f>MAX(C151-F151-G151,0)</f>
      </c>
      <c r="I151" s="10">
        <f>I150+D151+G151</f>
      </c>
      <c r="J151" s="10">
        <f>J150+E151</f>
      </c>
      <c r="K151" s="10">
        <f>K150+F151+G151</f>
      </c>
    </row>
    <row r="152" spans="1:11" x14ac:dyDescent="0.25">
      <c r="A152">
        <v>150</v>
      </c>
      <c r="B152">
        <f>INT((A152-1)/12)+1</f>
      </c>
      <c r="C152" s="10">
        <f>H151</f>
      </c>
      <c r="D152" s="10">
        <f>IF(C152&lt;=0,0,MIN(-PMT(InterestRate/12,LoanYears*12,LoanAmount),C152+E152))</f>
      </c>
      <c r="E152" s="10">
        <f>IF(C152&gt;0,C152*InterestRate/12,0)</f>
      </c>
      <c r="F152" s="10">
        <f>D152-E152</f>
      </c>
      <c r="G152" s="10">
        <f>IF(AND(BonusFlag="あり",MOD(A152,6)=0,C152-F152&gt;0),MIN(BonusAmount,C152-F152),0)</f>
      </c>
      <c r="H152" s="10">
        <f>MAX(C152-F152-G152,0)</f>
      </c>
      <c r="I152" s="10">
        <f>I151+D152+G152</f>
      </c>
      <c r="J152" s="10">
        <f>J151+E152</f>
      </c>
      <c r="K152" s="10">
        <f>K151+F152+G152</f>
      </c>
    </row>
    <row r="153" spans="1:11" x14ac:dyDescent="0.25">
      <c r="A153">
        <v>151</v>
      </c>
      <c r="B153">
        <f>INT((A153-1)/12)+1</f>
      </c>
      <c r="C153" s="10">
        <f>H152</f>
      </c>
      <c r="D153" s="10">
        <f>IF(C153&lt;=0,0,MIN(-PMT(InterestRate/12,LoanYears*12,LoanAmount),C153+E153))</f>
      </c>
      <c r="E153" s="10">
        <f>IF(C153&gt;0,C153*InterestRate/12,0)</f>
      </c>
      <c r="F153" s="10">
        <f>D153-E153</f>
      </c>
      <c r="G153" s="10">
        <f>IF(AND(BonusFlag="あり",MOD(A153,6)=0,C153-F153&gt;0),MIN(BonusAmount,C153-F153),0)</f>
      </c>
      <c r="H153" s="10">
        <f>MAX(C153-F153-G153,0)</f>
      </c>
      <c r="I153" s="10">
        <f>I152+D153+G153</f>
      </c>
      <c r="J153" s="10">
        <f>J152+E153</f>
      </c>
      <c r="K153" s="10">
        <f>K152+F153+G153</f>
      </c>
    </row>
    <row r="154" spans="1:11" x14ac:dyDescent="0.25">
      <c r="A154">
        <v>152</v>
      </c>
      <c r="B154">
        <f>INT((A154-1)/12)+1</f>
      </c>
      <c r="C154" s="10">
        <f>H153</f>
      </c>
      <c r="D154" s="10">
        <f>IF(C154&lt;=0,0,MIN(-PMT(InterestRate/12,LoanYears*12,LoanAmount),C154+E154))</f>
      </c>
      <c r="E154" s="10">
        <f>IF(C154&gt;0,C154*InterestRate/12,0)</f>
      </c>
      <c r="F154" s="10">
        <f>D154-E154</f>
      </c>
      <c r="G154" s="10">
        <f>IF(AND(BonusFlag="あり",MOD(A154,6)=0,C154-F154&gt;0),MIN(BonusAmount,C154-F154),0)</f>
      </c>
      <c r="H154" s="10">
        <f>MAX(C154-F154-G154,0)</f>
      </c>
      <c r="I154" s="10">
        <f>I153+D154+G154</f>
      </c>
      <c r="J154" s="10">
        <f>J153+E154</f>
      </c>
      <c r="K154" s="10">
        <f>K153+F154+G154</f>
      </c>
    </row>
    <row r="155" spans="1:11" x14ac:dyDescent="0.25">
      <c r="A155">
        <v>153</v>
      </c>
      <c r="B155">
        <f>INT((A155-1)/12)+1</f>
      </c>
      <c r="C155" s="10">
        <f>H154</f>
      </c>
      <c r="D155" s="10">
        <f>IF(C155&lt;=0,0,MIN(-PMT(InterestRate/12,LoanYears*12,LoanAmount),C155+E155))</f>
      </c>
      <c r="E155" s="10">
        <f>IF(C155&gt;0,C155*InterestRate/12,0)</f>
      </c>
      <c r="F155" s="10">
        <f>D155-E155</f>
      </c>
      <c r="G155" s="10">
        <f>IF(AND(BonusFlag="あり",MOD(A155,6)=0,C155-F155&gt;0),MIN(BonusAmount,C155-F155),0)</f>
      </c>
      <c r="H155" s="10">
        <f>MAX(C155-F155-G155,0)</f>
      </c>
      <c r="I155" s="10">
        <f>I154+D155+G155</f>
      </c>
      <c r="J155" s="10">
        <f>J154+E155</f>
      </c>
      <c r="K155" s="10">
        <f>K154+F155+G155</f>
      </c>
    </row>
    <row r="156" spans="1:11" x14ac:dyDescent="0.25">
      <c r="A156">
        <v>154</v>
      </c>
      <c r="B156">
        <f>INT((A156-1)/12)+1</f>
      </c>
      <c r="C156" s="10">
        <f>H155</f>
      </c>
      <c r="D156" s="10">
        <f>IF(C156&lt;=0,0,MIN(-PMT(InterestRate/12,LoanYears*12,LoanAmount),C156+E156))</f>
      </c>
      <c r="E156" s="10">
        <f>IF(C156&gt;0,C156*InterestRate/12,0)</f>
      </c>
      <c r="F156" s="10">
        <f>D156-E156</f>
      </c>
      <c r="G156" s="10">
        <f>IF(AND(BonusFlag="あり",MOD(A156,6)=0,C156-F156&gt;0),MIN(BonusAmount,C156-F156),0)</f>
      </c>
      <c r="H156" s="10">
        <f>MAX(C156-F156-G156,0)</f>
      </c>
      <c r="I156" s="10">
        <f>I155+D156+G156</f>
      </c>
      <c r="J156" s="10">
        <f>J155+E156</f>
      </c>
      <c r="K156" s="10">
        <f>K155+F156+G156</f>
      </c>
    </row>
    <row r="157" spans="1:11" x14ac:dyDescent="0.25">
      <c r="A157">
        <v>155</v>
      </c>
      <c r="B157">
        <f>INT((A157-1)/12)+1</f>
      </c>
      <c r="C157" s="10">
        <f>H156</f>
      </c>
      <c r="D157" s="10">
        <f>IF(C157&lt;=0,0,MIN(-PMT(InterestRate/12,LoanYears*12,LoanAmount),C157+E157))</f>
      </c>
      <c r="E157" s="10">
        <f>IF(C157&gt;0,C157*InterestRate/12,0)</f>
      </c>
      <c r="F157" s="10">
        <f>D157-E157</f>
      </c>
      <c r="G157" s="10">
        <f>IF(AND(BonusFlag="あり",MOD(A157,6)=0,C157-F157&gt;0),MIN(BonusAmount,C157-F157),0)</f>
      </c>
      <c r="H157" s="10">
        <f>MAX(C157-F157-G157,0)</f>
      </c>
      <c r="I157" s="10">
        <f>I156+D157+G157</f>
      </c>
      <c r="J157" s="10">
        <f>J156+E157</f>
      </c>
      <c r="K157" s="10">
        <f>K156+F157+G157</f>
      </c>
    </row>
    <row r="158" spans="1:11" x14ac:dyDescent="0.25">
      <c r="A158">
        <v>156</v>
      </c>
      <c r="B158">
        <f>INT((A158-1)/12)+1</f>
      </c>
      <c r="C158" s="10">
        <f>H157</f>
      </c>
      <c r="D158" s="10">
        <f>IF(C158&lt;=0,0,MIN(-PMT(InterestRate/12,LoanYears*12,LoanAmount),C158+E158))</f>
      </c>
      <c r="E158" s="10">
        <f>IF(C158&gt;0,C158*InterestRate/12,0)</f>
      </c>
      <c r="F158" s="10">
        <f>D158-E158</f>
      </c>
      <c r="G158" s="10">
        <f>IF(AND(BonusFlag="あり",MOD(A158,6)=0,C158-F158&gt;0),MIN(BonusAmount,C158-F158),0)</f>
      </c>
      <c r="H158" s="10">
        <f>MAX(C158-F158-G158,0)</f>
      </c>
      <c r="I158" s="10">
        <f>I157+D158+G158</f>
      </c>
      <c r="J158" s="10">
        <f>J157+E158</f>
      </c>
      <c r="K158" s="10">
        <f>K157+F158+G158</f>
      </c>
    </row>
    <row r="159" spans="1:11" x14ac:dyDescent="0.25">
      <c r="A159">
        <v>157</v>
      </c>
      <c r="B159">
        <f>INT((A159-1)/12)+1</f>
      </c>
      <c r="C159" s="10">
        <f>H158</f>
      </c>
      <c r="D159" s="10">
        <f>IF(C159&lt;=0,0,MIN(-PMT(InterestRate/12,LoanYears*12,LoanAmount),C159+E159))</f>
      </c>
      <c r="E159" s="10">
        <f>IF(C159&gt;0,C159*InterestRate/12,0)</f>
      </c>
      <c r="F159" s="10">
        <f>D159-E159</f>
      </c>
      <c r="G159" s="10">
        <f>IF(AND(BonusFlag="あり",MOD(A159,6)=0,C159-F159&gt;0),MIN(BonusAmount,C159-F159),0)</f>
      </c>
      <c r="H159" s="10">
        <f>MAX(C159-F159-G159,0)</f>
      </c>
      <c r="I159" s="10">
        <f>I158+D159+G159</f>
      </c>
      <c r="J159" s="10">
        <f>J158+E159</f>
      </c>
      <c r="K159" s="10">
        <f>K158+F159+G159</f>
      </c>
    </row>
    <row r="160" spans="1:11" x14ac:dyDescent="0.25">
      <c r="A160">
        <v>158</v>
      </c>
      <c r="B160">
        <f>INT((A160-1)/12)+1</f>
      </c>
      <c r="C160" s="10">
        <f>H159</f>
      </c>
      <c r="D160" s="10">
        <f>IF(C160&lt;=0,0,MIN(-PMT(InterestRate/12,LoanYears*12,LoanAmount),C160+E160))</f>
      </c>
      <c r="E160" s="10">
        <f>IF(C160&gt;0,C160*InterestRate/12,0)</f>
      </c>
      <c r="F160" s="10">
        <f>D160-E160</f>
      </c>
      <c r="G160" s="10">
        <f>IF(AND(BonusFlag="あり",MOD(A160,6)=0,C160-F160&gt;0),MIN(BonusAmount,C160-F160),0)</f>
      </c>
      <c r="H160" s="10">
        <f>MAX(C160-F160-G160,0)</f>
      </c>
      <c r="I160" s="10">
        <f>I159+D160+G160</f>
      </c>
      <c r="J160" s="10">
        <f>J159+E160</f>
      </c>
      <c r="K160" s="10">
        <f>K159+F160+G160</f>
      </c>
    </row>
    <row r="161" spans="1:11" x14ac:dyDescent="0.25">
      <c r="A161">
        <v>159</v>
      </c>
      <c r="B161">
        <f>INT((A161-1)/12)+1</f>
      </c>
      <c r="C161" s="10">
        <f>H160</f>
      </c>
      <c r="D161" s="10">
        <f>IF(C161&lt;=0,0,MIN(-PMT(InterestRate/12,LoanYears*12,LoanAmount),C161+E161))</f>
      </c>
      <c r="E161" s="10">
        <f>IF(C161&gt;0,C161*InterestRate/12,0)</f>
      </c>
      <c r="F161" s="10">
        <f>D161-E161</f>
      </c>
      <c r="G161" s="10">
        <f>IF(AND(BonusFlag="あり",MOD(A161,6)=0,C161-F161&gt;0),MIN(BonusAmount,C161-F161),0)</f>
      </c>
      <c r="H161" s="10">
        <f>MAX(C161-F161-G161,0)</f>
      </c>
      <c r="I161" s="10">
        <f>I160+D161+G161</f>
      </c>
      <c r="J161" s="10">
        <f>J160+E161</f>
      </c>
      <c r="K161" s="10">
        <f>K160+F161+G161</f>
      </c>
    </row>
    <row r="162" spans="1:11" x14ac:dyDescent="0.25">
      <c r="A162">
        <v>160</v>
      </c>
      <c r="B162">
        <f>INT((A162-1)/12)+1</f>
      </c>
      <c r="C162" s="10">
        <f>H161</f>
      </c>
      <c r="D162" s="10">
        <f>IF(C162&lt;=0,0,MIN(-PMT(InterestRate/12,LoanYears*12,LoanAmount),C162+E162))</f>
      </c>
      <c r="E162" s="10">
        <f>IF(C162&gt;0,C162*InterestRate/12,0)</f>
      </c>
      <c r="F162" s="10">
        <f>D162-E162</f>
      </c>
      <c r="G162" s="10">
        <f>IF(AND(BonusFlag="あり",MOD(A162,6)=0,C162-F162&gt;0),MIN(BonusAmount,C162-F162),0)</f>
      </c>
      <c r="H162" s="10">
        <f>MAX(C162-F162-G162,0)</f>
      </c>
      <c r="I162" s="10">
        <f>I161+D162+G162</f>
      </c>
      <c r="J162" s="10">
        <f>J161+E162</f>
      </c>
      <c r="K162" s="10">
        <f>K161+F162+G162</f>
      </c>
    </row>
    <row r="163" spans="1:11" x14ac:dyDescent="0.25">
      <c r="A163">
        <v>161</v>
      </c>
      <c r="B163">
        <f>INT((A163-1)/12)+1</f>
      </c>
      <c r="C163" s="10">
        <f>H162</f>
      </c>
      <c r="D163" s="10">
        <f>IF(C163&lt;=0,0,MIN(-PMT(InterestRate/12,LoanYears*12,LoanAmount),C163+E163))</f>
      </c>
      <c r="E163" s="10">
        <f>IF(C163&gt;0,C163*InterestRate/12,0)</f>
      </c>
      <c r="F163" s="10">
        <f>D163-E163</f>
      </c>
      <c r="G163" s="10">
        <f>IF(AND(BonusFlag="あり",MOD(A163,6)=0,C163-F163&gt;0),MIN(BonusAmount,C163-F163),0)</f>
      </c>
      <c r="H163" s="10">
        <f>MAX(C163-F163-G163,0)</f>
      </c>
      <c r="I163" s="10">
        <f>I162+D163+G163</f>
      </c>
      <c r="J163" s="10">
        <f>J162+E163</f>
      </c>
      <c r="K163" s="10">
        <f>K162+F163+G163</f>
      </c>
    </row>
    <row r="164" spans="1:11" x14ac:dyDescent="0.25">
      <c r="A164">
        <v>162</v>
      </c>
      <c r="B164">
        <f>INT((A164-1)/12)+1</f>
      </c>
      <c r="C164" s="10">
        <f>H163</f>
      </c>
      <c r="D164" s="10">
        <f>IF(C164&lt;=0,0,MIN(-PMT(InterestRate/12,LoanYears*12,LoanAmount),C164+E164))</f>
      </c>
      <c r="E164" s="10">
        <f>IF(C164&gt;0,C164*InterestRate/12,0)</f>
      </c>
      <c r="F164" s="10">
        <f>D164-E164</f>
      </c>
      <c r="G164" s="10">
        <f>IF(AND(BonusFlag="あり",MOD(A164,6)=0,C164-F164&gt;0),MIN(BonusAmount,C164-F164),0)</f>
      </c>
      <c r="H164" s="10">
        <f>MAX(C164-F164-G164,0)</f>
      </c>
      <c r="I164" s="10">
        <f>I163+D164+G164</f>
      </c>
      <c r="J164" s="10">
        <f>J163+E164</f>
      </c>
      <c r="K164" s="10">
        <f>K163+F164+G164</f>
      </c>
    </row>
    <row r="165" spans="1:11" x14ac:dyDescent="0.25">
      <c r="A165">
        <v>163</v>
      </c>
      <c r="B165">
        <f>INT((A165-1)/12)+1</f>
      </c>
      <c r="C165" s="10">
        <f>H164</f>
      </c>
      <c r="D165" s="10">
        <f>IF(C165&lt;=0,0,MIN(-PMT(InterestRate/12,LoanYears*12,LoanAmount),C165+E165))</f>
      </c>
      <c r="E165" s="10">
        <f>IF(C165&gt;0,C165*InterestRate/12,0)</f>
      </c>
      <c r="F165" s="10">
        <f>D165-E165</f>
      </c>
      <c r="G165" s="10">
        <f>IF(AND(BonusFlag="あり",MOD(A165,6)=0,C165-F165&gt;0),MIN(BonusAmount,C165-F165),0)</f>
      </c>
      <c r="H165" s="10">
        <f>MAX(C165-F165-G165,0)</f>
      </c>
      <c r="I165" s="10">
        <f>I164+D165+G165</f>
      </c>
      <c r="J165" s="10">
        <f>J164+E165</f>
      </c>
      <c r="K165" s="10">
        <f>K164+F165+G165</f>
      </c>
    </row>
    <row r="166" spans="1:11" x14ac:dyDescent="0.25">
      <c r="A166">
        <v>164</v>
      </c>
      <c r="B166">
        <f>INT((A166-1)/12)+1</f>
      </c>
      <c r="C166" s="10">
        <f>H165</f>
      </c>
      <c r="D166" s="10">
        <f>IF(C166&lt;=0,0,MIN(-PMT(InterestRate/12,LoanYears*12,LoanAmount),C166+E166))</f>
      </c>
      <c r="E166" s="10">
        <f>IF(C166&gt;0,C166*InterestRate/12,0)</f>
      </c>
      <c r="F166" s="10">
        <f>D166-E166</f>
      </c>
      <c r="G166" s="10">
        <f>IF(AND(BonusFlag="あり",MOD(A166,6)=0,C166-F166&gt;0),MIN(BonusAmount,C166-F166),0)</f>
      </c>
      <c r="H166" s="10">
        <f>MAX(C166-F166-G166,0)</f>
      </c>
      <c r="I166" s="10">
        <f>I165+D166+G166</f>
      </c>
      <c r="J166" s="10">
        <f>J165+E166</f>
      </c>
      <c r="K166" s="10">
        <f>K165+F166+G166</f>
      </c>
    </row>
    <row r="167" spans="1:11" x14ac:dyDescent="0.25">
      <c r="A167">
        <v>165</v>
      </c>
      <c r="B167">
        <f>INT((A167-1)/12)+1</f>
      </c>
      <c r="C167" s="10">
        <f>H166</f>
      </c>
      <c r="D167" s="10">
        <f>IF(C167&lt;=0,0,MIN(-PMT(InterestRate/12,LoanYears*12,LoanAmount),C167+E167))</f>
      </c>
      <c r="E167" s="10">
        <f>IF(C167&gt;0,C167*InterestRate/12,0)</f>
      </c>
      <c r="F167" s="10">
        <f>D167-E167</f>
      </c>
      <c r="G167" s="10">
        <f>IF(AND(BonusFlag="あり",MOD(A167,6)=0,C167-F167&gt;0),MIN(BonusAmount,C167-F167),0)</f>
      </c>
      <c r="H167" s="10">
        <f>MAX(C167-F167-G167,0)</f>
      </c>
      <c r="I167" s="10">
        <f>I166+D167+G167</f>
      </c>
      <c r="J167" s="10">
        <f>J166+E167</f>
      </c>
      <c r="K167" s="10">
        <f>K166+F167+G167</f>
      </c>
    </row>
    <row r="168" spans="1:11" x14ac:dyDescent="0.25">
      <c r="A168">
        <v>166</v>
      </c>
      <c r="B168">
        <f>INT((A168-1)/12)+1</f>
      </c>
      <c r="C168" s="10">
        <f>H167</f>
      </c>
      <c r="D168" s="10">
        <f>IF(C168&lt;=0,0,MIN(-PMT(InterestRate/12,LoanYears*12,LoanAmount),C168+E168))</f>
      </c>
      <c r="E168" s="10">
        <f>IF(C168&gt;0,C168*InterestRate/12,0)</f>
      </c>
      <c r="F168" s="10">
        <f>D168-E168</f>
      </c>
      <c r="G168" s="10">
        <f>IF(AND(BonusFlag="あり",MOD(A168,6)=0,C168-F168&gt;0),MIN(BonusAmount,C168-F168),0)</f>
      </c>
      <c r="H168" s="10">
        <f>MAX(C168-F168-G168,0)</f>
      </c>
      <c r="I168" s="10">
        <f>I167+D168+G168</f>
      </c>
      <c r="J168" s="10">
        <f>J167+E168</f>
      </c>
      <c r="K168" s="10">
        <f>K167+F168+G168</f>
      </c>
    </row>
    <row r="169" spans="1:11" x14ac:dyDescent="0.25">
      <c r="A169">
        <v>167</v>
      </c>
      <c r="B169">
        <f>INT((A169-1)/12)+1</f>
      </c>
      <c r="C169" s="10">
        <f>H168</f>
      </c>
      <c r="D169" s="10">
        <f>IF(C169&lt;=0,0,MIN(-PMT(InterestRate/12,LoanYears*12,LoanAmount),C169+E169))</f>
      </c>
      <c r="E169" s="10">
        <f>IF(C169&gt;0,C169*InterestRate/12,0)</f>
      </c>
      <c r="F169" s="10">
        <f>D169-E169</f>
      </c>
      <c r="G169" s="10">
        <f>IF(AND(BonusFlag="あり",MOD(A169,6)=0,C169-F169&gt;0),MIN(BonusAmount,C169-F169),0)</f>
      </c>
      <c r="H169" s="10">
        <f>MAX(C169-F169-G169,0)</f>
      </c>
      <c r="I169" s="10">
        <f>I168+D169+G169</f>
      </c>
      <c r="J169" s="10">
        <f>J168+E169</f>
      </c>
      <c r="K169" s="10">
        <f>K168+F169+G169</f>
      </c>
    </row>
    <row r="170" spans="1:11" x14ac:dyDescent="0.25">
      <c r="A170">
        <v>168</v>
      </c>
      <c r="B170">
        <f>INT((A170-1)/12)+1</f>
      </c>
      <c r="C170" s="10">
        <f>H169</f>
      </c>
      <c r="D170" s="10">
        <f>IF(C170&lt;=0,0,MIN(-PMT(InterestRate/12,LoanYears*12,LoanAmount),C170+E170))</f>
      </c>
      <c r="E170" s="10">
        <f>IF(C170&gt;0,C170*InterestRate/12,0)</f>
      </c>
      <c r="F170" s="10">
        <f>D170-E170</f>
      </c>
      <c r="G170" s="10">
        <f>IF(AND(BonusFlag="あり",MOD(A170,6)=0,C170-F170&gt;0),MIN(BonusAmount,C170-F170),0)</f>
      </c>
      <c r="H170" s="10">
        <f>MAX(C170-F170-G170,0)</f>
      </c>
      <c r="I170" s="10">
        <f>I169+D170+G170</f>
      </c>
      <c r="J170" s="10">
        <f>J169+E170</f>
      </c>
      <c r="K170" s="10">
        <f>K169+F170+G170</f>
      </c>
    </row>
    <row r="171" spans="1:11" x14ac:dyDescent="0.25">
      <c r="A171">
        <v>169</v>
      </c>
      <c r="B171">
        <f>INT((A171-1)/12)+1</f>
      </c>
      <c r="C171" s="10">
        <f>H170</f>
      </c>
      <c r="D171" s="10">
        <f>IF(C171&lt;=0,0,MIN(-PMT(InterestRate/12,LoanYears*12,LoanAmount),C171+E171))</f>
      </c>
      <c r="E171" s="10">
        <f>IF(C171&gt;0,C171*InterestRate/12,0)</f>
      </c>
      <c r="F171" s="10">
        <f>D171-E171</f>
      </c>
      <c r="G171" s="10">
        <f>IF(AND(BonusFlag="あり",MOD(A171,6)=0,C171-F171&gt;0),MIN(BonusAmount,C171-F171),0)</f>
      </c>
      <c r="H171" s="10">
        <f>MAX(C171-F171-G171,0)</f>
      </c>
      <c r="I171" s="10">
        <f>I170+D171+G171</f>
      </c>
      <c r="J171" s="10">
        <f>J170+E171</f>
      </c>
      <c r="K171" s="10">
        <f>K170+F171+G171</f>
      </c>
    </row>
    <row r="172" spans="1:11" x14ac:dyDescent="0.25">
      <c r="A172">
        <v>170</v>
      </c>
      <c r="B172">
        <f>INT((A172-1)/12)+1</f>
      </c>
      <c r="C172" s="10">
        <f>H171</f>
      </c>
      <c r="D172" s="10">
        <f>IF(C172&lt;=0,0,MIN(-PMT(InterestRate/12,LoanYears*12,LoanAmount),C172+E172))</f>
      </c>
      <c r="E172" s="10">
        <f>IF(C172&gt;0,C172*InterestRate/12,0)</f>
      </c>
      <c r="F172" s="10">
        <f>D172-E172</f>
      </c>
      <c r="G172" s="10">
        <f>IF(AND(BonusFlag="あり",MOD(A172,6)=0,C172-F172&gt;0),MIN(BonusAmount,C172-F172),0)</f>
      </c>
      <c r="H172" s="10">
        <f>MAX(C172-F172-G172,0)</f>
      </c>
      <c r="I172" s="10">
        <f>I171+D172+G172</f>
      </c>
      <c r="J172" s="10">
        <f>J171+E172</f>
      </c>
      <c r="K172" s="10">
        <f>K171+F172+G172</f>
      </c>
    </row>
    <row r="173" spans="1:11" x14ac:dyDescent="0.25">
      <c r="A173">
        <v>171</v>
      </c>
      <c r="B173">
        <f>INT((A173-1)/12)+1</f>
      </c>
      <c r="C173" s="10">
        <f>H172</f>
      </c>
      <c r="D173" s="10">
        <f>IF(C173&lt;=0,0,MIN(-PMT(InterestRate/12,LoanYears*12,LoanAmount),C173+E173))</f>
      </c>
      <c r="E173" s="10">
        <f>IF(C173&gt;0,C173*InterestRate/12,0)</f>
      </c>
      <c r="F173" s="10">
        <f>D173-E173</f>
      </c>
      <c r="G173" s="10">
        <f>IF(AND(BonusFlag="あり",MOD(A173,6)=0,C173-F173&gt;0),MIN(BonusAmount,C173-F173),0)</f>
      </c>
      <c r="H173" s="10">
        <f>MAX(C173-F173-G173,0)</f>
      </c>
      <c r="I173" s="10">
        <f>I172+D173+G173</f>
      </c>
      <c r="J173" s="10">
        <f>J172+E173</f>
      </c>
      <c r="K173" s="10">
        <f>K172+F173+G173</f>
      </c>
    </row>
    <row r="174" spans="1:11" x14ac:dyDescent="0.25">
      <c r="A174">
        <v>172</v>
      </c>
      <c r="B174">
        <f>INT((A174-1)/12)+1</f>
      </c>
      <c r="C174" s="10">
        <f>H173</f>
      </c>
      <c r="D174" s="10">
        <f>IF(C174&lt;=0,0,MIN(-PMT(InterestRate/12,LoanYears*12,LoanAmount),C174+E174))</f>
      </c>
      <c r="E174" s="10">
        <f>IF(C174&gt;0,C174*InterestRate/12,0)</f>
      </c>
      <c r="F174" s="10">
        <f>D174-E174</f>
      </c>
      <c r="G174" s="10">
        <f>IF(AND(BonusFlag="あり",MOD(A174,6)=0,C174-F174&gt;0),MIN(BonusAmount,C174-F174),0)</f>
      </c>
      <c r="H174" s="10">
        <f>MAX(C174-F174-G174,0)</f>
      </c>
      <c r="I174" s="10">
        <f>I173+D174+G174</f>
      </c>
      <c r="J174" s="10">
        <f>J173+E174</f>
      </c>
      <c r="K174" s="10">
        <f>K173+F174+G174</f>
      </c>
    </row>
    <row r="175" spans="1:11" x14ac:dyDescent="0.25">
      <c r="A175">
        <v>173</v>
      </c>
      <c r="B175">
        <f>INT((A175-1)/12)+1</f>
      </c>
      <c r="C175" s="10">
        <f>H174</f>
      </c>
      <c r="D175" s="10">
        <f>IF(C175&lt;=0,0,MIN(-PMT(InterestRate/12,LoanYears*12,LoanAmount),C175+E175))</f>
      </c>
      <c r="E175" s="10">
        <f>IF(C175&gt;0,C175*InterestRate/12,0)</f>
      </c>
      <c r="F175" s="10">
        <f>D175-E175</f>
      </c>
      <c r="G175" s="10">
        <f>IF(AND(BonusFlag="あり",MOD(A175,6)=0,C175-F175&gt;0),MIN(BonusAmount,C175-F175),0)</f>
      </c>
      <c r="H175" s="10">
        <f>MAX(C175-F175-G175,0)</f>
      </c>
      <c r="I175" s="10">
        <f>I174+D175+G175</f>
      </c>
      <c r="J175" s="10">
        <f>J174+E175</f>
      </c>
      <c r="K175" s="10">
        <f>K174+F175+G175</f>
      </c>
    </row>
    <row r="176" spans="1:11" x14ac:dyDescent="0.25">
      <c r="A176">
        <v>174</v>
      </c>
      <c r="B176">
        <f>INT((A176-1)/12)+1</f>
      </c>
      <c r="C176" s="10">
        <f>H175</f>
      </c>
      <c r="D176" s="10">
        <f>IF(C176&lt;=0,0,MIN(-PMT(InterestRate/12,LoanYears*12,LoanAmount),C176+E176))</f>
      </c>
      <c r="E176" s="10">
        <f>IF(C176&gt;0,C176*InterestRate/12,0)</f>
      </c>
      <c r="F176" s="10">
        <f>D176-E176</f>
      </c>
      <c r="G176" s="10">
        <f>IF(AND(BonusFlag="あり",MOD(A176,6)=0,C176-F176&gt;0),MIN(BonusAmount,C176-F176),0)</f>
      </c>
      <c r="H176" s="10">
        <f>MAX(C176-F176-G176,0)</f>
      </c>
      <c r="I176" s="10">
        <f>I175+D176+G176</f>
      </c>
      <c r="J176" s="10">
        <f>J175+E176</f>
      </c>
      <c r="K176" s="10">
        <f>K175+F176+G176</f>
      </c>
    </row>
    <row r="177" spans="1:11" x14ac:dyDescent="0.25">
      <c r="A177">
        <v>175</v>
      </c>
      <c r="B177">
        <f>INT((A177-1)/12)+1</f>
      </c>
      <c r="C177" s="10">
        <f>H176</f>
      </c>
      <c r="D177" s="10">
        <f>IF(C177&lt;=0,0,MIN(-PMT(InterestRate/12,LoanYears*12,LoanAmount),C177+E177))</f>
      </c>
      <c r="E177" s="10">
        <f>IF(C177&gt;0,C177*InterestRate/12,0)</f>
      </c>
      <c r="F177" s="10">
        <f>D177-E177</f>
      </c>
      <c r="G177" s="10">
        <f>IF(AND(BonusFlag="あり",MOD(A177,6)=0,C177-F177&gt;0),MIN(BonusAmount,C177-F177),0)</f>
      </c>
      <c r="H177" s="10">
        <f>MAX(C177-F177-G177,0)</f>
      </c>
      <c r="I177" s="10">
        <f>I176+D177+G177</f>
      </c>
      <c r="J177" s="10">
        <f>J176+E177</f>
      </c>
      <c r="K177" s="10">
        <f>K176+F177+G177</f>
      </c>
    </row>
    <row r="178" spans="1:11" x14ac:dyDescent="0.25">
      <c r="A178">
        <v>176</v>
      </c>
      <c r="B178">
        <f>INT((A178-1)/12)+1</f>
      </c>
      <c r="C178" s="10">
        <f>H177</f>
      </c>
      <c r="D178" s="10">
        <f>IF(C178&lt;=0,0,MIN(-PMT(InterestRate/12,LoanYears*12,LoanAmount),C178+E178))</f>
      </c>
      <c r="E178" s="10">
        <f>IF(C178&gt;0,C178*InterestRate/12,0)</f>
      </c>
      <c r="F178" s="10">
        <f>D178-E178</f>
      </c>
      <c r="G178" s="10">
        <f>IF(AND(BonusFlag="あり",MOD(A178,6)=0,C178-F178&gt;0),MIN(BonusAmount,C178-F178),0)</f>
      </c>
      <c r="H178" s="10">
        <f>MAX(C178-F178-G178,0)</f>
      </c>
      <c r="I178" s="10">
        <f>I177+D178+G178</f>
      </c>
      <c r="J178" s="10">
        <f>J177+E178</f>
      </c>
      <c r="K178" s="10">
        <f>K177+F178+G178</f>
      </c>
    </row>
    <row r="179" spans="1:11" x14ac:dyDescent="0.25">
      <c r="A179">
        <v>177</v>
      </c>
      <c r="B179">
        <f>INT((A179-1)/12)+1</f>
      </c>
      <c r="C179" s="10">
        <f>H178</f>
      </c>
      <c r="D179" s="10">
        <f>IF(C179&lt;=0,0,MIN(-PMT(InterestRate/12,LoanYears*12,LoanAmount),C179+E179))</f>
      </c>
      <c r="E179" s="10">
        <f>IF(C179&gt;0,C179*InterestRate/12,0)</f>
      </c>
      <c r="F179" s="10">
        <f>D179-E179</f>
      </c>
      <c r="G179" s="10">
        <f>IF(AND(BonusFlag="あり",MOD(A179,6)=0,C179-F179&gt;0),MIN(BonusAmount,C179-F179),0)</f>
      </c>
      <c r="H179" s="10">
        <f>MAX(C179-F179-G179,0)</f>
      </c>
      <c r="I179" s="10">
        <f>I178+D179+G179</f>
      </c>
      <c r="J179" s="10">
        <f>J178+E179</f>
      </c>
      <c r="K179" s="10">
        <f>K178+F179+G179</f>
      </c>
    </row>
    <row r="180" spans="1:11" x14ac:dyDescent="0.25">
      <c r="A180">
        <v>178</v>
      </c>
      <c r="B180">
        <f>INT((A180-1)/12)+1</f>
      </c>
      <c r="C180" s="10">
        <f>H179</f>
      </c>
      <c r="D180" s="10">
        <f>IF(C180&lt;=0,0,MIN(-PMT(InterestRate/12,LoanYears*12,LoanAmount),C180+E180))</f>
      </c>
      <c r="E180" s="10">
        <f>IF(C180&gt;0,C180*InterestRate/12,0)</f>
      </c>
      <c r="F180" s="10">
        <f>D180-E180</f>
      </c>
      <c r="G180" s="10">
        <f>IF(AND(BonusFlag="あり",MOD(A180,6)=0,C180-F180&gt;0),MIN(BonusAmount,C180-F180),0)</f>
      </c>
      <c r="H180" s="10">
        <f>MAX(C180-F180-G180,0)</f>
      </c>
      <c r="I180" s="10">
        <f>I179+D180+G180</f>
      </c>
      <c r="J180" s="10">
        <f>J179+E180</f>
      </c>
      <c r="K180" s="10">
        <f>K179+F180+G180</f>
      </c>
    </row>
    <row r="181" spans="1:11" x14ac:dyDescent="0.25">
      <c r="A181">
        <v>179</v>
      </c>
      <c r="B181">
        <f>INT((A181-1)/12)+1</f>
      </c>
      <c r="C181" s="10">
        <f>H180</f>
      </c>
      <c r="D181" s="10">
        <f>IF(C181&lt;=0,0,MIN(-PMT(InterestRate/12,LoanYears*12,LoanAmount),C181+E181))</f>
      </c>
      <c r="E181" s="10">
        <f>IF(C181&gt;0,C181*InterestRate/12,0)</f>
      </c>
      <c r="F181" s="10">
        <f>D181-E181</f>
      </c>
      <c r="G181" s="10">
        <f>IF(AND(BonusFlag="あり",MOD(A181,6)=0,C181-F181&gt;0),MIN(BonusAmount,C181-F181),0)</f>
      </c>
      <c r="H181" s="10">
        <f>MAX(C181-F181-G181,0)</f>
      </c>
      <c r="I181" s="10">
        <f>I180+D181+G181</f>
      </c>
      <c r="J181" s="10">
        <f>J180+E181</f>
      </c>
      <c r="K181" s="10">
        <f>K180+F181+G181</f>
      </c>
    </row>
    <row r="182" spans="1:11" x14ac:dyDescent="0.25">
      <c r="A182">
        <v>180</v>
      </c>
      <c r="B182">
        <f>INT((A182-1)/12)+1</f>
      </c>
      <c r="C182" s="10">
        <f>H181</f>
      </c>
      <c r="D182" s="10">
        <f>IF(C182&lt;=0,0,MIN(-PMT(InterestRate/12,LoanYears*12,LoanAmount),C182+E182))</f>
      </c>
      <c r="E182" s="10">
        <f>IF(C182&gt;0,C182*InterestRate/12,0)</f>
      </c>
      <c r="F182" s="10">
        <f>D182-E182</f>
      </c>
      <c r="G182" s="10">
        <f>IF(AND(BonusFlag="あり",MOD(A182,6)=0,C182-F182&gt;0),MIN(BonusAmount,C182-F182),0)</f>
      </c>
      <c r="H182" s="10">
        <f>MAX(C182-F182-G182,0)</f>
      </c>
      <c r="I182" s="10">
        <f>I181+D182+G182</f>
      </c>
      <c r="J182" s="10">
        <f>J181+E182</f>
      </c>
      <c r="K182" s="10">
        <f>K181+F182+G182</f>
      </c>
    </row>
    <row r="183" spans="1:11" x14ac:dyDescent="0.25">
      <c r="A183">
        <v>181</v>
      </c>
      <c r="B183">
        <f>INT((A183-1)/12)+1</f>
      </c>
      <c r="C183" s="10">
        <f>H182</f>
      </c>
      <c r="D183" s="10">
        <f>IF(C183&lt;=0,0,MIN(-PMT(InterestRate/12,LoanYears*12,LoanAmount),C183+E183))</f>
      </c>
      <c r="E183" s="10">
        <f>IF(C183&gt;0,C183*InterestRate/12,0)</f>
      </c>
      <c r="F183" s="10">
        <f>D183-E183</f>
      </c>
      <c r="G183" s="10">
        <f>IF(AND(BonusFlag="あり",MOD(A183,6)=0,C183-F183&gt;0),MIN(BonusAmount,C183-F183),0)</f>
      </c>
      <c r="H183" s="10">
        <f>MAX(C183-F183-G183,0)</f>
      </c>
      <c r="I183" s="10">
        <f>I182+D183+G183</f>
      </c>
      <c r="J183" s="10">
        <f>J182+E183</f>
      </c>
      <c r="K183" s="10">
        <f>K182+F183+G183</f>
      </c>
    </row>
    <row r="184" spans="1:11" x14ac:dyDescent="0.25">
      <c r="A184">
        <v>182</v>
      </c>
      <c r="B184">
        <f>INT((A184-1)/12)+1</f>
      </c>
      <c r="C184" s="10">
        <f>H183</f>
      </c>
      <c r="D184" s="10">
        <f>IF(C184&lt;=0,0,MIN(-PMT(InterestRate/12,LoanYears*12,LoanAmount),C184+E184))</f>
      </c>
      <c r="E184" s="10">
        <f>IF(C184&gt;0,C184*InterestRate/12,0)</f>
      </c>
      <c r="F184" s="10">
        <f>D184-E184</f>
      </c>
      <c r="G184" s="10">
        <f>IF(AND(BonusFlag="あり",MOD(A184,6)=0,C184-F184&gt;0),MIN(BonusAmount,C184-F184),0)</f>
      </c>
      <c r="H184" s="10">
        <f>MAX(C184-F184-G184,0)</f>
      </c>
      <c r="I184" s="10">
        <f>I183+D184+G184</f>
      </c>
      <c r="J184" s="10">
        <f>J183+E184</f>
      </c>
      <c r="K184" s="10">
        <f>K183+F184+G184</f>
      </c>
    </row>
    <row r="185" spans="1:11" x14ac:dyDescent="0.25">
      <c r="A185">
        <v>183</v>
      </c>
      <c r="B185">
        <f>INT((A185-1)/12)+1</f>
      </c>
      <c r="C185" s="10">
        <f>H184</f>
      </c>
      <c r="D185" s="10">
        <f>IF(C185&lt;=0,0,MIN(-PMT(InterestRate/12,LoanYears*12,LoanAmount),C185+E185))</f>
      </c>
      <c r="E185" s="10">
        <f>IF(C185&gt;0,C185*InterestRate/12,0)</f>
      </c>
      <c r="F185" s="10">
        <f>D185-E185</f>
      </c>
      <c r="G185" s="10">
        <f>IF(AND(BonusFlag="あり",MOD(A185,6)=0,C185-F185&gt;0),MIN(BonusAmount,C185-F185),0)</f>
      </c>
      <c r="H185" s="10">
        <f>MAX(C185-F185-G185,0)</f>
      </c>
      <c r="I185" s="10">
        <f>I184+D185+G185</f>
      </c>
      <c r="J185" s="10">
        <f>J184+E185</f>
      </c>
      <c r="K185" s="10">
        <f>K184+F185+G185</f>
      </c>
    </row>
    <row r="186" spans="1:11" x14ac:dyDescent="0.25">
      <c r="A186">
        <v>184</v>
      </c>
      <c r="B186">
        <f>INT((A186-1)/12)+1</f>
      </c>
      <c r="C186" s="10">
        <f>H185</f>
      </c>
      <c r="D186" s="10">
        <f>IF(C186&lt;=0,0,MIN(-PMT(InterestRate/12,LoanYears*12,LoanAmount),C186+E186))</f>
      </c>
      <c r="E186" s="10">
        <f>IF(C186&gt;0,C186*InterestRate/12,0)</f>
      </c>
      <c r="F186" s="10">
        <f>D186-E186</f>
      </c>
      <c r="G186" s="10">
        <f>IF(AND(BonusFlag="あり",MOD(A186,6)=0,C186-F186&gt;0),MIN(BonusAmount,C186-F186),0)</f>
      </c>
      <c r="H186" s="10">
        <f>MAX(C186-F186-G186,0)</f>
      </c>
      <c r="I186" s="10">
        <f>I185+D186+G186</f>
      </c>
      <c r="J186" s="10">
        <f>J185+E186</f>
      </c>
      <c r="K186" s="10">
        <f>K185+F186+G186</f>
      </c>
    </row>
    <row r="187" spans="1:11" x14ac:dyDescent="0.25">
      <c r="A187">
        <v>185</v>
      </c>
      <c r="B187">
        <f>INT((A187-1)/12)+1</f>
      </c>
      <c r="C187" s="10">
        <f>H186</f>
      </c>
      <c r="D187" s="10">
        <f>IF(C187&lt;=0,0,MIN(-PMT(InterestRate/12,LoanYears*12,LoanAmount),C187+E187))</f>
      </c>
      <c r="E187" s="10">
        <f>IF(C187&gt;0,C187*InterestRate/12,0)</f>
      </c>
      <c r="F187" s="10">
        <f>D187-E187</f>
      </c>
      <c r="G187" s="10">
        <f>IF(AND(BonusFlag="あり",MOD(A187,6)=0,C187-F187&gt;0),MIN(BonusAmount,C187-F187),0)</f>
      </c>
      <c r="H187" s="10">
        <f>MAX(C187-F187-G187,0)</f>
      </c>
      <c r="I187" s="10">
        <f>I186+D187+G187</f>
      </c>
      <c r="J187" s="10">
        <f>J186+E187</f>
      </c>
      <c r="K187" s="10">
        <f>K186+F187+G187</f>
      </c>
    </row>
    <row r="188" spans="1:11" x14ac:dyDescent="0.25">
      <c r="A188">
        <v>186</v>
      </c>
      <c r="B188">
        <f>INT((A188-1)/12)+1</f>
      </c>
      <c r="C188" s="10">
        <f>H187</f>
      </c>
      <c r="D188" s="10">
        <f>IF(C188&lt;=0,0,MIN(-PMT(InterestRate/12,LoanYears*12,LoanAmount),C188+E188))</f>
      </c>
      <c r="E188" s="10">
        <f>IF(C188&gt;0,C188*InterestRate/12,0)</f>
      </c>
      <c r="F188" s="10">
        <f>D188-E188</f>
      </c>
      <c r="G188" s="10">
        <f>IF(AND(BonusFlag="あり",MOD(A188,6)=0,C188-F188&gt;0),MIN(BonusAmount,C188-F188),0)</f>
      </c>
      <c r="H188" s="10">
        <f>MAX(C188-F188-G188,0)</f>
      </c>
      <c r="I188" s="10">
        <f>I187+D188+G188</f>
      </c>
      <c r="J188" s="10">
        <f>J187+E188</f>
      </c>
      <c r="K188" s="10">
        <f>K187+F188+G188</f>
      </c>
    </row>
    <row r="189" spans="1:11" x14ac:dyDescent="0.25">
      <c r="A189">
        <v>187</v>
      </c>
      <c r="B189">
        <f>INT((A189-1)/12)+1</f>
      </c>
      <c r="C189" s="10">
        <f>H188</f>
      </c>
      <c r="D189" s="10">
        <f>IF(C189&lt;=0,0,MIN(-PMT(InterestRate/12,LoanYears*12,LoanAmount),C189+E189))</f>
      </c>
      <c r="E189" s="10">
        <f>IF(C189&gt;0,C189*InterestRate/12,0)</f>
      </c>
      <c r="F189" s="10">
        <f>D189-E189</f>
      </c>
      <c r="G189" s="10">
        <f>IF(AND(BonusFlag="あり",MOD(A189,6)=0,C189-F189&gt;0),MIN(BonusAmount,C189-F189),0)</f>
      </c>
      <c r="H189" s="10">
        <f>MAX(C189-F189-G189,0)</f>
      </c>
      <c r="I189" s="10">
        <f>I188+D189+G189</f>
      </c>
      <c r="J189" s="10">
        <f>J188+E189</f>
      </c>
      <c r="K189" s="10">
        <f>K188+F189+G189</f>
      </c>
    </row>
    <row r="190" spans="1:11" x14ac:dyDescent="0.25">
      <c r="A190">
        <v>188</v>
      </c>
      <c r="B190">
        <f>INT((A190-1)/12)+1</f>
      </c>
      <c r="C190" s="10">
        <f>H189</f>
      </c>
      <c r="D190" s="10">
        <f>IF(C190&lt;=0,0,MIN(-PMT(InterestRate/12,LoanYears*12,LoanAmount),C190+E190))</f>
      </c>
      <c r="E190" s="10">
        <f>IF(C190&gt;0,C190*InterestRate/12,0)</f>
      </c>
      <c r="F190" s="10">
        <f>D190-E190</f>
      </c>
      <c r="G190" s="10">
        <f>IF(AND(BonusFlag="あり",MOD(A190,6)=0,C190-F190&gt;0),MIN(BonusAmount,C190-F190),0)</f>
      </c>
      <c r="H190" s="10">
        <f>MAX(C190-F190-G190,0)</f>
      </c>
      <c r="I190" s="10">
        <f>I189+D190+G190</f>
      </c>
      <c r="J190" s="10">
        <f>J189+E190</f>
      </c>
      <c r="K190" s="10">
        <f>K189+F190+G190</f>
      </c>
    </row>
    <row r="191" spans="1:11" x14ac:dyDescent="0.25">
      <c r="A191">
        <v>189</v>
      </c>
      <c r="B191">
        <f>INT((A191-1)/12)+1</f>
      </c>
      <c r="C191" s="10">
        <f>H190</f>
      </c>
      <c r="D191" s="10">
        <f>IF(C191&lt;=0,0,MIN(-PMT(InterestRate/12,LoanYears*12,LoanAmount),C191+E191))</f>
      </c>
      <c r="E191" s="10">
        <f>IF(C191&gt;0,C191*InterestRate/12,0)</f>
      </c>
      <c r="F191" s="10">
        <f>D191-E191</f>
      </c>
      <c r="G191" s="10">
        <f>IF(AND(BonusFlag="あり",MOD(A191,6)=0,C191-F191&gt;0),MIN(BonusAmount,C191-F191),0)</f>
      </c>
      <c r="H191" s="10">
        <f>MAX(C191-F191-G191,0)</f>
      </c>
      <c r="I191" s="10">
        <f>I190+D191+G191</f>
      </c>
      <c r="J191" s="10">
        <f>J190+E191</f>
      </c>
      <c r="K191" s="10">
        <f>K190+F191+G191</f>
      </c>
    </row>
    <row r="192" spans="1:11" x14ac:dyDescent="0.25">
      <c r="A192">
        <v>190</v>
      </c>
      <c r="B192">
        <f>INT((A192-1)/12)+1</f>
      </c>
      <c r="C192" s="10">
        <f>H191</f>
      </c>
      <c r="D192" s="10">
        <f>IF(C192&lt;=0,0,MIN(-PMT(InterestRate/12,LoanYears*12,LoanAmount),C192+E192))</f>
      </c>
      <c r="E192" s="10">
        <f>IF(C192&gt;0,C192*InterestRate/12,0)</f>
      </c>
      <c r="F192" s="10">
        <f>D192-E192</f>
      </c>
      <c r="G192" s="10">
        <f>IF(AND(BonusFlag="あり",MOD(A192,6)=0,C192-F192&gt;0),MIN(BonusAmount,C192-F192),0)</f>
      </c>
      <c r="H192" s="10">
        <f>MAX(C192-F192-G192,0)</f>
      </c>
      <c r="I192" s="10">
        <f>I191+D192+G192</f>
      </c>
      <c r="J192" s="10">
        <f>J191+E192</f>
      </c>
      <c r="K192" s="10">
        <f>K191+F192+G192</f>
      </c>
    </row>
    <row r="193" spans="1:11" x14ac:dyDescent="0.25">
      <c r="A193">
        <v>191</v>
      </c>
      <c r="B193">
        <f>INT((A193-1)/12)+1</f>
      </c>
      <c r="C193" s="10">
        <f>H192</f>
      </c>
      <c r="D193" s="10">
        <f>IF(C193&lt;=0,0,MIN(-PMT(InterestRate/12,LoanYears*12,LoanAmount),C193+E193))</f>
      </c>
      <c r="E193" s="10">
        <f>IF(C193&gt;0,C193*InterestRate/12,0)</f>
      </c>
      <c r="F193" s="10">
        <f>D193-E193</f>
      </c>
      <c r="G193" s="10">
        <f>IF(AND(BonusFlag="あり",MOD(A193,6)=0,C193-F193&gt;0),MIN(BonusAmount,C193-F193),0)</f>
      </c>
      <c r="H193" s="10">
        <f>MAX(C193-F193-G193,0)</f>
      </c>
      <c r="I193" s="10">
        <f>I192+D193+G193</f>
      </c>
      <c r="J193" s="10">
        <f>J192+E193</f>
      </c>
      <c r="K193" s="10">
        <f>K192+F193+G193</f>
      </c>
    </row>
    <row r="194" spans="1:11" x14ac:dyDescent="0.25">
      <c r="A194">
        <v>192</v>
      </c>
      <c r="B194">
        <f>INT((A194-1)/12)+1</f>
      </c>
      <c r="C194" s="10">
        <f>H193</f>
      </c>
      <c r="D194" s="10">
        <f>IF(C194&lt;=0,0,MIN(-PMT(InterestRate/12,LoanYears*12,LoanAmount),C194+E194))</f>
      </c>
      <c r="E194" s="10">
        <f>IF(C194&gt;0,C194*InterestRate/12,0)</f>
      </c>
      <c r="F194" s="10">
        <f>D194-E194</f>
      </c>
      <c r="G194" s="10">
        <f>IF(AND(BonusFlag="あり",MOD(A194,6)=0,C194-F194&gt;0),MIN(BonusAmount,C194-F194),0)</f>
      </c>
      <c r="H194" s="10">
        <f>MAX(C194-F194-G194,0)</f>
      </c>
      <c r="I194" s="10">
        <f>I193+D194+G194</f>
      </c>
      <c r="J194" s="10">
        <f>J193+E194</f>
      </c>
      <c r="K194" s="10">
        <f>K193+F194+G194</f>
      </c>
    </row>
    <row r="195" spans="1:11" x14ac:dyDescent="0.25">
      <c r="A195">
        <v>193</v>
      </c>
      <c r="B195">
        <f>INT((A195-1)/12)+1</f>
      </c>
      <c r="C195" s="10">
        <f>H194</f>
      </c>
      <c r="D195" s="10">
        <f>IF(C195&lt;=0,0,MIN(-PMT(InterestRate/12,LoanYears*12,LoanAmount),C195+E195))</f>
      </c>
      <c r="E195" s="10">
        <f>IF(C195&gt;0,C195*InterestRate/12,0)</f>
      </c>
      <c r="F195" s="10">
        <f>D195-E195</f>
      </c>
      <c r="G195" s="10">
        <f>IF(AND(BonusFlag="あり",MOD(A195,6)=0,C195-F195&gt;0),MIN(BonusAmount,C195-F195),0)</f>
      </c>
      <c r="H195" s="10">
        <f>MAX(C195-F195-G195,0)</f>
      </c>
      <c r="I195" s="10">
        <f>I194+D195+G195</f>
      </c>
      <c r="J195" s="10">
        <f>J194+E195</f>
      </c>
      <c r="K195" s="10">
        <f>K194+F195+G195</f>
      </c>
    </row>
    <row r="196" spans="1:11" x14ac:dyDescent="0.25">
      <c r="A196">
        <v>194</v>
      </c>
      <c r="B196">
        <f>INT((A196-1)/12)+1</f>
      </c>
      <c r="C196" s="10">
        <f>H195</f>
      </c>
      <c r="D196" s="10">
        <f>IF(C196&lt;=0,0,MIN(-PMT(InterestRate/12,LoanYears*12,LoanAmount),C196+E196))</f>
      </c>
      <c r="E196" s="10">
        <f>IF(C196&gt;0,C196*InterestRate/12,0)</f>
      </c>
      <c r="F196" s="10">
        <f>D196-E196</f>
      </c>
      <c r="G196" s="10">
        <f>IF(AND(BonusFlag="あり",MOD(A196,6)=0,C196-F196&gt;0),MIN(BonusAmount,C196-F196),0)</f>
      </c>
      <c r="H196" s="10">
        <f>MAX(C196-F196-G196,0)</f>
      </c>
      <c r="I196" s="10">
        <f>I195+D196+G196</f>
      </c>
      <c r="J196" s="10">
        <f>J195+E196</f>
      </c>
      <c r="K196" s="10">
        <f>K195+F196+G196</f>
      </c>
    </row>
    <row r="197" spans="1:11" x14ac:dyDescent="0.25">
      <c r="A197">
        <v>195</v>
      </c>
      <c r="B197">
        <f>INT((A197-1)/12)+1</f>
      </c>
      <c r="C197" s="10">
        <f>H196</f>
      </c>
      <c r="D197" s="10">
        <f>IF(C197&lt;=0,0,MIN(-PMT(InterestRate/12,LoanYears*12,LoanAmount),C197+E197))</f>
      </c>
      <c r="E197" s="10">
        <f>IF(C197&gt;0,C197*InterestRate/12,0)</f>
      </c>
      <c r="F197" s="10">
        <f>D197-E197</f>
      </c>
      <c r="G197" s="10">
        <f>IF(AND(BonusFlag="あり",MOD(A197,6)=0,C197-F197&gt;0),MIN(BonusAmount,C197-F197),0)</f>
      </c>
      <c r="H197" s="10">
        <f>MAX(C197-F197-G197,0)</f>
      </c>
      <c r="I197" s="10">
        <f>I196+D197+G197</f>
      </c>
      <c r="J197" s="10">
        <f>J196+E197</f>
      </c>
      <c r="K197" s="10">
        <f>K196+F197+G197</f>
      </c>
    </row>
    <row r="198" spans="1:11" x14ac:dyDescent="0.25">
      <c r="A198">
        <v>196</v>
      </c>
      <c r="B198">
        <f>INT((A198-1)/12)+1</f>
      </c>
      <c r="C198" s="10">
        <f>H197</f>
      </c>
      <c r="D198" s="10">
        <f>IF(C198&lt;=0,0,MIN(-PMT(InterestRate/12,LoanYears*12,LoanAmount),C198+E198))</f>
      </c>
      <c r="E198" s="10">
        <f>IF(C198&gt;0,C198*InterestRate/12,0)</f>
      </c>
      <c r="F198" s="10">
        <f>D198-E198</f>
      </c>
      <c r="G198" s="10">
        <f>IF(AND(BonusFlag="あり",MOD(A198,6)=0,C198-F198&gt;0),MIN(BonusAmount,C198-F198),0)</f>
      </c>
      <c r="H198" s="10">
        <f>MAX(C198-F198-G198,0)</f>
      </c>
      <c r="I198" s="10">
        <f>I197+D198+G198</f>
      </c>
      <c r="J198" s="10">
        <f>J197+E198</f>
      </c>
      <c r="K198" s="10">
        <f>K197+F198+G198</f>
      </c>
    </row>
    <row r="199" spans="1:11" x14ac:dyDescent="0.25">
      <c r="A199">
        <v>197</v>
      </c>
      <c r="B199">
        <f>INT((A199-1)/12)+1</f>
      </c>
      <c r="C199" s="10">
        <f>H198</f>
      </c>
      <c r="D199" s="10">
        <f>IF(C199&lt;=0,0,MIN(-PMT(InterestRate/12,LoanYears*12,LoanAmount),C199+E199))</f>
      </c>
      <c r="E199" s="10">
        <f>IF(C199&gt;0,C199*InterestRate/12,0)</f>
      </c>
      <c r="F199" s="10">
        <f>D199-E199</f>
      </c>
      <c r="G199" s="10">
        <f>IF(AND(BonusFlag="あり",MOD(A199,6)=0,C199-F199&gt;0),MIN(BonusAmount,C199-F199),0)</f>
      </c>
      <c r="H199" s="10">
        <f>MAX(C199-F199-G199,0)</f>
      </c>
      <c r="I199" s="10">
        <f>I198+D199+G199</f>
      </c>
      <c r="J199" s="10">
        <f>J198+E199</f>
      </c>
      <c r="K199" s="10">
        <f>K198+F199+G199</f>
      </c>
    </row>
    <row r="200" spans="1:11" x14ac:dyDescent="0.25">
      <c r="A200">
        <v>198</v>
      </c>
      <c r="B200">
        <f>INT((A200-1)/12)+1</f>
      </c>
      <c r="C200" s="10">
        <f>H199</f>
      </c>
      <c r="D200" s="10">
        <f>IF(C200&lt;=0,0,MIN(-PMT(InterestRate/12,LoanYears*12,LoanAmount),C200+E200))</f>
      </c>
      <c r="E200" s="10">
        <f>IF(C200&gt;0,C200*InterestRate/12,0)</f>
      </c>
      <c r="F200" s="10">
        <f>D200-E200</f>
      </c>
      <c r="G200" s="10">
        <f>IF(AND(BonusFlag="あり",MOD(A200,6)=0,C200-F200&gt;0),MIN(BonusAmount,C200-F200),0)</f>
      </c>
      <c r="H200" s="10">
        <f>MAX(C200-F200-G200,0)</f>
      </c>
      <c r="I200" s="10">
        <f>I199+D200+G200</f>
      </c>
      <c r="J200" s="10">
        <f>J199+E200</f>
      </c>
      <c r="K200" s="10">
        <f>K199+F200+G200</f>
      </c>
    </row>
    <row r="201" spans="1:11" x14ac:dyDescent="0.25">
      <c r="A201">
        <v>199</v>
      </c>
      <c r="B201">
        <f>INT((A201-1)/12)+1</f>
      </c>
      <c r="C201" s="10">
        <f>H200</f>
      </c>
      <c r="D201" s="10">
        <f>IF(C201&lt;=0,0,MIN(-PMT(InterestRate/12,LoanYears*12,LoanAmount),C201+E201))</f>
      </c>
      <c r="E201" s="10">
        <f>IF(C201&gt;0,C201*InterestRate/12,0)</f>
      </c>
      <c r="F201" s="10">
        <f>D201-E201</f>
      </c>
      <c r="G201" s="10">
        <f>IF(AND(BonusFlag="あり",MOD(A201,6)=0,C201-F201&gt;0),MIN(BonusAmount,C201-F201),0)</f>
      </c>
      <c r="H201" s="10">
        <f>MAX(C201-F201-G201,0)</f>
      </c>
      <c r="I201" s="10">
        <f>I200+D201+G201</f>
      </c>
      <c r="J201" s="10">
        <f>J200+E201</f>
      </c>
      <c r="K201" s="10">
        <f>K200+F201+G201</f>
      </c>
    </row>
    <row r="202" spans="1:11" x14ac:dyDescent="0.25">
      <c r="A202">
        <v>200</v>
      </c>
      <c r="B202">
        <f>INT((A202-1)/12)+1</f>
      </c>
      <c r="C202" s="10">
        <f>H201</f>
      </c>
      <c r="D202" s="10">
        <f>IF(C202&lt;=0,0,MIN(-PMT(InterestRate/12,LoanYears*12,LoanAmount),C202+E202))</f>
      </c>
      <c r="E202" s="10">
        <f>IF(C202&gt;0,C202*InterestRate/12,0)</f>
      </c>
      <c r="F202" s="10">
        <f>D202-E202</f>
      </c>
      <c r="G202" s="10">
        <f>IF(AND(BonusFlag="あり",MOD(A202,6)=0,C202-F202&gt;0),MIN(BonusAmount,C202-F202),0)</f>
      </c>
      <c r="H202" s="10">
        <f>MAX(C202-F202-G202,0)</f>
      </c>
      <c r="I202" s="10">
        <f>I201+D202+G202</f>
      </c>
      <c r="J202" s="10">
        <f>J201+E202</f>
      </c>
      <c r="K202" s="10">
        <f>K201+F202+G202</f>
      </c>
    </row>
    <row r="203" spans="1:11" x14ac:dyDescent="0.25">
      <c r="A203">
        <v>201</v>
      </c>
      <c r="B203">
        <f>INT((A203-1)/12)+1</f>
      </c>
      <c r="C203" s="10">
        <f>H202</f>
      </c>
      <c r="D203" s="10">
        <f>IF(C203&lt;=0,0,MIN(-PMT(InterestRate/12,LoanYears*12,LoanAmount),C203+E203))</f>
      </c>
      <c r="E203" s="10">
        <f>IF(C203&gt;0,C203*InterestRate/12,0)</f>
      </c>
      <c r="F203" s="10">
        <f>D203-E203</f>
      </c>
      <c r="G203" s="10">
        <f>IF(AND(BonusFlag="あり",MOD(A203,6)=0,C203-F203&gt;0),MIN(BonusAmount,C203-F203),0)</f>
      </c>
      <c r="H203" s="10">
        <f>MAX(C203-F203-G203,0)</f>
      </c>
      <c r="I203" s="10">
        <f>I202+D203+G203</f>
      </c>
      <c r="J203" s="10">
        <f>J202+E203</f>
      </c>
      <c r="K203" s="10">
        <f>K202+F203+G203</f>
      </c>
    </row>
    <row r="204" spans="1:11" x14ac:dyDescent="0.25">
      <c r="A204">
        <v>202</v>
      </c>
      <c r="B204">
        <f>INT((A204-1)/12)+1</f>
      </c>
      <c r="C204" s="10">
        <f>H203</f>
      </c>
      <c r="D204" s="10">
        <f>IF(C204&lt;=0,0,MIN(-PMT(InterestRate/12,LoanYears*12,LoanAmount),C204+E204))</f>
      </c>
      <c r="E204" s="10">
        <f>IF(C204&gt;0,C204*InterestRate/12,0)</f>
      </c>
      <c r="F204" s="10">
        <f>D204-E204</f>
      </c>
      <c r="G204" s="10">
        <f>IF(AND(BonusFlag="あり",MOD(A204,6)=0,C204-F204&gt;0),MIN(BonusAmount,C204-F204),0)</f>
      </c>
      <c r="H204" s="10">
        <f>MAX(C204-F204-G204,0)</f>
      </c>
      <c r="I204" s="10">
        <f>I203+D204+G204</f>
      </c>
      <c r="J204" s="10">
        <f>J203+E204</f>
      </c>
      <c r="K204" s="10">
        <f>K203+F204+G204</f>
      </c>
    </row>
    <row r="205" spans="1:11" x14ac:dyDescent="0.25">
      <c r="A205">
        <v>203</v>
      </c>
      <c r="B205">
        <f>INT((A205-1)/12)+1</f>
      </c>
      <c r="C205" s="10">
        <f>H204</f>
      </c>
      <c r="D205" s="10">
        <f>IF(C205&lt;=0,0,MIN(-PMT(InterestRate/12,LoanYears*12,LoanAmount),C205+E205))</f>
      </c>
      <c r="E205" s="10">
        <f>IF(C205&gt;0,C205*InterestRate/12,0)</f>
      </c>
      <c r="F205" s="10">
        <f>D205-E205</f>
      </c>
      <c r="G205" s="10">
        <f>IF(AND(BonusFlag="あり",MOD(A205,6)=0,C205-F205&gt;0),MIN(BonusAmount,C205-F205),0)</f>
      </c>
      <c r="H205" s="10">
        <f>MAX(C205-F205-G205,0)</f>
      </c>
      <c r="I205" s="10">
        <f>I204+D205+G205</f>
      </c>
      <c r="J205" s="10">
        <f>J204+E205</f>
      </c>
      <c r="K205" s="10">
        <f>K204+F205+G205</f>
      </c>
    </row>
    <row r="206" spans="1:11" x14ac:dyDescent="0.25">
      <c r="A206">
        <v>204</v>
      </c>
      <c r="B206">
        <f>INT((A206-1)/12)+1</f>
      </c>
      <c r="C206" s="10">
        <f>H205</f>
      </c>
      <c r="D206" s="10">
        <f>IF(C206&lt;=0,0,MIN(-PMT(InterestRate/12,LoanYears*12,LoanAmount),C206+E206))</f>
      </c>
      <c r="E206" s="10">
        <f>IF(C206&gt;0,C206*InterestRate/12,0)</f>
      </c>
      <c r="F206" s="10">
        <f>D206-E206</f>
      </c>
      <c r="G206" s="10">
        <f>IF(AND(BonusFlag="あり",MOD(A206,6)=0,C206-F206&gt;0),MIN(BonusAmount,C206-F206),0)</f>
      </c>
      <c r="H206" s="10">
        <f>MAX(C206-F206-G206,0)</f>
      </c>
      <c r="I206" s="10">
        <f>I205+D206+G206</f>
      </c>
      <c r="J206" s="10">
        <f>J205+E206</f>
      </c>
      <c r="K206" s="10">
        <f>K205+F206+G206</f>
      </c>
    </row>
    <row r="207" spans="1:11" x14ac:dyDescent="0.25">
      <c r="A207">
        <v>205</v>
      </c>
      <c r="B207">
        <f>INT((A207-1)/12)+1</f>
      </c>
      <c r="C207" s="10">
        <f>H206</f>
      </c>
      <c r="D207" s="10">
        <f>IF(C207&lt;=0,0,MIN(-PMT(InterestRate/12,LoanYears*12,LoanAmount),C207+E207))</f>
      </c>
      <c r="E207" s="10">
        <f>IF(C207&gt;0,C207*InterestRate/12,0)</f>
      </c>
      <c r="F207" s="10">
        <f>D207-E207</f>
      </c>
      <c r="G207" s="10">
        <f>IF(AND(BonusFlag="あり",MOD(A207,6)=0,C207-F207&gt;0),MIN(BonusAmount,C207-F207),0)</f>
      </c>
      <c r="H207" s="10">
        <f>MAX(C207-F207-G207,0)</f>
      </c>
      <c r="I207" s="10">
        <f>I206+D207+G207</f>
      </c>
      <c r="J207" s="10">
        <f>J206+E207</f>
      </c>
      <c r="K207" s="10">
        <f>K206+F207+G207</f>
      </c>
    </row>
    <row r="208" spans="1:11" x14ac:dyDescent="0.25">
      <c r="A208">
        <v>206</v>
      </c>
      <c r="B208">
        <f>INT((A208-1)/12)+1</f>
      </c>
      <c r="C208" s="10">
        <f>H207</f>
      </c>
      <c r="D208" s="10">
        <f>IF(C208&lt;=0,0,MIN(-PMT(InterestRate/12,LoanYears*12,LoanAmount),C208+E208))</f>
      </c>
      <c r="E208" s="10">
        <f>IF(C208&gt;0,C208*InterestRate/12,0)</f>
      </c>
      <c r="F208" s="10">
        <f>D208-E208</f>
      </c>
      <c r="G208" s="10">
        <f>IF(AND(BonusFlag="あり",MOD(A208,6)=0,C208-F208&gt;0),MIN(BonusAmount,C208-F208),0)</f>
      </c>
      <c r="H208" s="10">
        <f>MAX(C208-F208-G208,0)</f>
      </c>
      <c r="I208" s="10">
        <f>I207+D208+G208</f>
      </c>
      <c r="J208" s="10">
        <f>J207+E208</f>
      </c>
      <c r="K208" s="10">
        <f>K207+F208+G208</f>
      </c>
    </row>
    <row r="209" spans="1:11" x14ac:dyDescent="0.25">
      <c r="A209">
        <v>207</v>
      </c>
      <c r="B209">
        <f>INT((A209-1)/12)+1</f>
      </c>
      <c r="C209" s="10">
        <f>H208</f>
      </c>
      <c r="D209" s="10">
        <f>IF(C209&lt;=0,0,MIN(-PMT(InterestRate/12,LoanYears*12,LoanAmount),C209+E209))</f>
      </c>
      <c r="E209" s="10">
        <f>IF(C209&gt;0,C209*InterestRate/12,0)</f>
      </c>
      <c r="F209" s="10">
        <f>D209-E209</f>
      </c>
      <c r="G209" s="10">
        <f>IF(AND(BonusFlag="あり",MOD(A209,6)=0,C209-F209&gt;0),MIN(BonusAmount,C209-F209),0)</f>
      </c>
      <c r="H209" s="10">
        <f>MAX(C209-F209-G209,0)</f>
      </c>
      <c r="I209" s="10">
        <f>I208+D209+G209</f>
      </c>
      <c r="J209" s="10">
        <f>J208+E209</f>
      </c>
      <c r="K209" s="10">
        <f>K208+F209+G209</f>
      </c>
    </row>
    <row r="210" spans="1:11" x14ac:dyDescent="0.25">
      <c r="A210">
        <v>208</v>
      </c>
      <c r="B210">
        <f>INT((A210-1)/12)+1</f>
      </c>
      <c r="C210" s="10">
        <f>H209</f>
      </c>
      <c r="D210" s="10">
        <f>IF(C210&lt;=0,0,MIN(-PMT(InterestRate/12,LoanYears*12,LoanAmount),C210+E210))</f>
      </c>
      <c r="E210" s="10">
        <f>IF(C210&gt;0,C210*InterestRate/12,0)</f>
      </c>
      <c r="F210" s="10">
        <f>D210-E210</f>
      </c>
      <c r="G210" s="10">
        <f>IF(AND(BonusFlag="あり",MOD(A210,6)=0,C210-F210&gt;0),MIN(BonusAmount,C210-F210),0)</f>
      </c>
      <c r="H210" s="10">
        <f>MAX(C210-F210-G210,0)</f>
      </c>
      <c r="I210" s="10">
        <f>I209+D210+G210</f>
      </c>
      <c r="J210" s="10">
        <f>J209+E210</f>
      </c>
      <c r="K210" s="10">
        <f>K209+F210+G210</f>
      </c>
    </row>
    <row r="211" spans="1:11" x14ac:dyDescent="0.25">
      <c r="A211">
        <v>209</v>
      </c>
      <c r="B211">
        <f>INT((A211-1)/12)+1</f>
      </c>
      <c r="C211" s="10">
        <f>H210</f>
      </c>
      <c r="D211" s="10">
        <f>IF(C211&lt;=0,0,MIN(-PMT(InterestRate/12,LoanYears*12,LoanAmount),C211+E211))</f>
      </c>
      <c r="E211" s="10">
        <f>IF(C211&gt;0,C211*InterestRate/12,0)</f>
      </c>
      <c r="F211" s="10">
        <f>D211-E211</f>
      </c>
      <c r="G211" s="10">
        <f>IF(AND(BonusFlag="あり",MOD(A211,6)=0,C211-F211&gt;0),MIN(BonusAmount,C211-F211),0)</f>
      </c>
      <c r="H211" s="10">
        <f>MAX(C211-F211-G211,0)</f>
      </c>
      <c r="I211" s="10">
        <f>I210+D211+G211</f>
      </c>
      <c r="J211" s="10">
        <f>J210+E211</f>
      </c>
      <c r="K211" s="10">
        <f>K210+F211+G211</f>
      </c>
    </row>
    <row r="212" spans="1:11" x14ac:dyDescent="0.25">
      <c r="A212">
        <v>210</v>
      </c>
      <c r="B212">
        <f>INT((A212-1)/12)+1</f>
      </c>
      <c r="C212" s="10">
        <f>H211</f>
      </c>
      <c r="D212" s="10">
        <f>IF(C212&lt;=0,0,MIN(-PMT(InterestRate/12,LoanYears*12,LoanAmount),C212+E212))</f>
      </c>
      <c r="E212" s="10">
        <f>IF(C212&gt;0,C212*InterestRate/12,0)</f>
      </c>
      <c r="F212" s="10">
        <f>D212-E212</f>
      </c>
      <c r="G212" s="10">
        <f>IF(AND(BonusFlag="あり",MOD(A212,6)=0,C212-F212&gt;0),MIN(BonusAmount,C212-F212),0)</f>
      </c>
      <c r="H212" s="10">
        <f>MAX(C212-F212-G212,0)</f>
      </c>
      <c r="I212" s="10">
        <f>I211+D212+G212</f>
      </c>
      <c r="J212" s="10">
        <f>J211+E212</f>
      </c>
      <c r="K212" s="10">
        <f>K211+F212+G212</f>
      </c>
    </row>
    <row r="213" spans="1:11" x14ac:dyDescent="0.25">
      <c r="A213">
        <v>211</v>
      </c>
      <c r="B213">
        <f>INT((A213-1)/12)+1</f>
      </c>
      <c r="C213" s="10">
        <f>H212</f>
      </c>
      <c r="D213" s="10">
        <f>IF(C213&lt;=0,0,MIN(-PMT(InterestRate/12,LoanYears*12,LoanAmount),C213+E213))</f>
      </c>
      <c r="E213" s="10">
        <f>IF(C213&gt;0,C213*InterestRate/12,0)</f>
      </c>
      <c r="F213" s="10">
        <f>D213-E213</f>
      </c>
      <c r="G213" s="10">
        <f>IF(AND(BonusFlag="あり",MOD(A213,6)=0,C213-F213&gt;0),MIN(BonusAmount,C213-F213),0)</f>
      </c>
      <c r="H213" s="10">
        <f>MAX(C213-F213-G213,0)</f>
      </c>
      <c r="I213" s="10">
        <f>I212+D213+G213</f>
      </c>
      <c r="J213" s="10">
        <f>J212+E213</f>
      </c>
      <c r="K213" s="10">
        <f>K212+F213+G213</f>
      </c>
    </row>
    <row r="214" spans="1:11" x14ac:dyDescent="0.25">
      <c r="A214">
        <v>212</v>
      </c>
      <c r="B214">
        <f>INT((A214-1)/12)+1</f>
      </c>
      <c r="C214" s="10">
        <f>H213</f>
      </c>
      <c r="D214" s="10">
        <f>IF(C214&lt;=0,0,MIN(-PMT(InterestRate/12,LoanYears*12,LoanAmount),C214+E214))</f>
      </c>
      <c r="E214" s="10">
        <f>IF(C214&gt;0,C214*InterestRate/12,0)</f>
      </c>
      <c r="F214" s="10">
        <f>D214-E214</f>
      </c>
      <c r="G214" s="10">
        <f>IF(AND(BonusFlag="あり",MOD(A214,6)=0,C214-F214&gt;0),MIN(BonusAmount,C214-F214),0)</f>
      </c>
      <c r="H214" s="10">
        <f>MAX(C214-F214-G214,0)</f>
      </c>
      <c r="I214" s="10">
        <f>I213+D214+G214</f>
      </c>
      <c r="J214" s="10">
        <f>J213+E214</f>
      </c>
      <c r="K214" s="10">
        <f>K213+F214+G214</f>
      </c>
    </row>
    <row r="215" spans="1:11" x14ac:dyDescent="0.25">
      <c r="A215">
        <v>213</v>
      </c>
      <c r="B215">
        <f>INT((A215-1)/12)+1</f>
      </c>
      <c r="C215" s="10">
        <f>H214</f>
      </c>
      <c r="D215" s="10">
        <f>IF(C215&lt;=0,0,MIN(-PMT(InterestRate/12,LoanYears*12,LoanAmount),C215+E215))</f>
      </c>
      <c r="E215" s="10">
        <f>IF(C215&gt;0,C215*InterestRate/12,0)</f>
      </c>
      <c r="F215" s="10">
        <f>D215-E215</f>
      </c>
      <c r="G215" s="10">
        <f>IF(AND(BonusFlag="あり",MOD(A215,6)=0,C215-F215&gt;0),MIN(BonusAmount,C215-F215),0)</f>
      </c>
      <c r="H215" s="10">
        <f>MAX(C215-F215-G215,0)</f>
      </c>
      <c r="I215" s="10">
        <f>I214+D215+G215</f>
      </c>
      <c r="J215" s="10">
        <f>J214+E215</f>
      </c>
      <c r="K215" s="10">
        <f>K214+F215+G215</f>
      </c>
    </row>
    <row r="216" spans="1:11" x14ac:dyDescent="0.25">
      <c r="A216">
        <v>214</v>
      </c>
      <c r="B216">
        <f>INT((A216-1)/12)+1</f>
      </c>
      <c r="C216" s="10">
        <f>H215</f>
      </c>
      <c r="D216" s="10">
        <f>IF(C216&lt;=0,0,MIN(-PMT(InterestRate/12,LoanYears*12,LoanAmount),C216+E216))</f>
      </c>
      <c r="E216" s="10">
        <f>IF(C216&gt;0,C216*InterestRate/12,0)</f>
      </c>
      <c r="F216" s="10">
        <f>D216-E216</f>
      </c>
      <c r="G216" s="10">
        <f>IF(AND(BonusFlag="あり",MOD(A216,6)=0,C216-F216&gt;0),MIN(BonusAmount,C216-F216),0)</f>
      </c>
      <c r="H216" s="10">
        <f>MAX(C216-F216-G216,0)</f>
      </c>
      <c r="I216" s="10">
        <f>I215+D216+G216</f>
      </c>
      <c r="J216" s="10">
        <f>J215+E216</f>
      </c>
      <c r="K216" s="10">
        <f>K215+F216+G216</f>
      </c>
    </row>
    <row r="217" spans="1:11" x14ac:dyDescent="0.25">
      <c r="A217">
        <v>215</v>
      </c>
      <c r="B217">
        <f>INT((A217-1)/12)+1</f>
      </c>
      <c r="C217" s="10">
        <f>H216</f>
      </c>
      <c r="D217" s="10">
        <f>IF(C217&lt;=0,0,MIN(-PMT(InterestRate/12,LoanYears*12,LoanAmount),C217+E217))</f>
      </c>
      <c r="E217" s="10">
        <f>IF(C217&gt;0,C217*InterestRate/12,0)</f>
      </c>
      <c r="F217" s="10">
        <f>D217-E217</f>
      </c>
      <c r="G217" s="10">
        <f>IF(AND(BonusFlag="あり",MOD(A217,6)=0,C217-F217&gt;0),MIN(BonusAmount,C217-F217),0)</f>
      </c>
      <c r="H217" s="10">
        <f>MAX(C217-F217-G217,0)</f>
      </c>
      <c r="I217" s="10">
        <f>I216+D217+G217</f>
      </c>
      <c r="J217" s="10">
        <f>J216+E217</f>
      </c>
      <c r="K217" s="10">
        <f>K216+F217+G217</f>
      </c>
    </row>
    <row r="218" spans="1:11" x14ac:dyDescent="0.25">
      <c r="A218">
        <v>216</v>
      </c>
      <c r="B218">
        <f>INT((A218-1)/12)+1</f>
      </c>
      <c r="C218" s="10">
        <f>H217</f>
      </c>
      <c r="D218" s="10">
        <f>IF(C218&lt;=0,0,MIN(-PMT(InterestRate/12,LoanYears*12,LoanAmount),C218+E218))</f>
      </c>
      <c r="E218" s="10">
        <f>IF(C218&gt;0,C218*InterestRate/12,0)</f>
      </c>
      <c r="F218" s="10">
        <f>D218-E218</f>
      </c>
      <c r="G218" s="10">
        <f>IF(AND(BonusFlag="あり",MOD(A218,6)=0,C218-F218&gt;0),MIN(BonusAmount,C218-F218),0)</f>
      </c>
      <c r="H218" s="10">
        <f>MAX(C218-F218-G218,0)</f>
      </c>
      <c r="I218" s="10">
        <f>I217+D218+G218</f>
      </c>
      <c r="J218" s="10">
        <f>J217+E218</f>
      </c>
      <c r="K218" s="10">
        <f>K217+F218+G218</f>
      </c>
    </row>
    <row r="219" spans="1:11" x14ac:dyDescent="0.25">
      <c r="A219">
        <v>217</v>
      </c>
      <c r="B219">
        <f>INT((A219-1)/12)+1</f>
      </c>
      <c r="C219" s="10">
        <f>H218</f>
      </c>
      <c r="D219" s="10">
        <f>IF(C219&lt;=0,0,MIN(-PMT(InterestRate/12,LoanYears*12,LoanAmount),C219+E219))</f>
      </c>
      <c r="E219" s="10">
        <f>IF(C219&gt;0,C219*InterestRate/12,0)</f>
      </c>
      <c r="F219" s="10">
        <f>D219-E219</f>
      </c>
      <c r="G219" s="10">
        <f>IF(AND(BonusFlag="あり",MOD(A219,6)=0,C219-F219&gt;0),MIN(BonusAmount,C219-F219),0)</f>
      </c>
      <c r="H219" s="10">
        <f>MAX(C219-F219-G219,0)</f>
      </c>
      <c r="I219" s="10">
        <f>I218+D219+G219</f>
      </c>
      <c r="J219" s="10">
        <f>J218+E219</f>
      </c>
      <c r="K219" s="10">
        <f>K218+F219+G219</f>
      </c>
    </row>
    <row r="220" spans="1:11" x14ac:dyDescent="0.25">
      <c r="A220">
        <v>218</v>
      </c>
      <c r="B220">
        <f>INT((A220-1)/12)+1</f>
      </c>
      <c r="C220" s="10">
        <f>H219</f>
      </c>
      <c r="D220" s="10">
        <f>IF(C220&lt;=0,0,MIN(-PMT(InterestRate/12,LoanYears*12,LoanAmount),C220+E220))</f>
      </c>
      <c r="E220" s="10">
        <f>IF(C220&gt;0,C220*InterestRate/12,0)</f>
      </c>
      <c r="F220" s="10">
        <f>D220-E220</f>
      </c>
      <c r="G220" s="10">
        <f>IF(AND(BonusFlag="あり",MOD(A220,6)=0,C220-F220&gt;0),MIN(BonusAmount,C220-F220),0)</f>
      </c>
      <c r="H220" s="10">
        <f>MAX(C220-F220-G220,0)</f>
      </c>
      <c r="I220" s="10">
        <f>I219+D220+G220</f>
      </c>
      <c r="J220" s="10">
        <f>J219+E220</f>
      </c>
      <c r="K220" s="10">
        <f>K219+F220+G220</f>
      </c>
    </row>
    <row r="221" spans="1:11" x14ac:dyDescent="0.25">
      <c r="A221">
        <v>219</v>
      </c>
      <c r="B221">
        <f>INT((A221-1)/12)+1</f>
      </c>
      <c r="C221" s="10">
        <f>H220</f>
      </c>
      <c r="D221" s="10">
        <f>IF(C221&lt;=0,0,MIN(-PMT(InterestRate/12,LoanYears*12,LoanAmount),C221+E221))</f>
      </c>
      <c r="E221" s="10">
        <f>IF(C221&gt;0,C221*InterestRate/12,0)</f>
      </c>
      <c r="F221" s="10">
        <f>D221-E221</f>
      </c>
      <c r="G221" s="10">
        <f>IF(AND(BonusFlag="あり",MOD(A221,6)=0,C221-F221&gt;0),MIN(BonusAmount,C221-F221),0)</f>
      </c>
      <c r="H221" s="10">
        <f>MAX(C221-F221-G221,0)</f>
      </c>
      <c r="I221" s="10">
        <f>I220+D221+G221</f>
      </c>
      <c r="J221" s="10">
        <f>J220+E221</f>
      </c>
      <c r="K221" s="10">
        <f>K220+F221+G221</f>
      </c>
    </row>
    <row r="222" spans="1:11" x14ac:dyDescent="0.25">
      <c r="A222">
        <v>220</v>
      </c>
      <c r="B222">
        <f>INT((A222-1)/12)+1</f>
      </c>
      <c r="C222" s="10">
        <f>H221</f>
      </c>
      <c r="D222" s="10">
        <f>IF(C222&lt;=0,0,MIN(-PMT(InterestRate/12,LoanYears*12,LoanAmount),C222+E222))</f>
      </c>
      <c r="E222" s="10">
        <f>IF(C222&gt;0,C222*InterestRate/12,0)</f>
      </c>
      <c r="F222" s="10">
        <f>D222-E222</f>
      </c>
      <c r="G222" s="10">
        <f>IF(AND(BonusFlag="あり",MOD(A222,6)=0,C222-F222&gt;0),MIN(BonusAmount,C222-F222),0)</f>
      </c>
      <c r="H222" s="10">
        <f>MAX(C222-F222-G222,0)</f>
      </c>
      <c r="I222" s="10">
        <f>I221+D222+G222</f>
      </c>
      <c r="J222" s="10">
        <f>J221+E222</f>
      </c>
      <c r="K222" s="10">
        <f>K221+F222+G222</f>
      </c>
    </row>
    <row r="223" spans="1:11" x14ac:dyDescent="0.25">
      <c r="A223">
        <v>221</v>
      </c>
      <c r="B223">
        <f>INT((A223-1)/12)+1</f>
      </c>
      <c r="C223" s="10">
        <f>H222</f>
      </c>
      <c r="D223" s="10">
        <f>IF(C223&lt;=0,0,MIN(-PMT(InterestRate/12,LoanYears*12,LoanAmount),C223+E223))</f>
      </c>
      <c r="E223" s="10">
        <f>IF(C223&gt;0,C223*InterestRate/12,0)</f>
      </c>
      <c r="F223" s="10">
        <f>D223-E223</f>
      </c>
      <c r="G223" s="10">
        <f>IF(AND(BonusFlag="あり",MOD(A223,6)=0,C223-F223&gt;0),MIN(BonusAmount,C223-F223),0)</f>
      </c>
      <c r="H223" s="10">
        <f>MAX(C223-F223-G223,0)</f>
      </c>
      <c r="I223" s="10">
        <f>I222+D223+G223</f>
      </c>
      <c r="J223" s="10">
        <f>J222+E223</f>
      </c>
      <c r="K223" s="10">
        <f>K222+F223+G223</f>
      </c>
    </row>
    <row r="224" spans="1:11" x14ac:dyDescent="0.25">
      <c r="A224">
        <v>222</v>
      </c>
      <c r="B224">
        <f>INT((A224-1)/12)+1</f>
      </c>
      <c r="C224" s="10">
        <f>H223</f>
      </c>
      <c r="D224" s="10">
        <f>IF(C224&lt;=0,0,MIN(-PMT(InterestRate/12,LoanYears*12,LoanAmount),C224+E224))</f>
      </c>
      <c r="E224" s="10">
        <f>IF(C224&gt;0,C224*InterestRate/12,0)</f>
      </c>
      <c r="F224" s="10">
        <f>D224-E224</f>
      </c>
      <c r="G224" s="10">
        <f>IF(AND(BonusFlag="あり",MOD(A224,6)=0,C224-F224&gt;0),MIN(BonusAmount,C224-F224),0)</f>
      </c>
      <c r="H224" s="10">
        <f>MAX(C224-F224-G224,0)</f>
      </c>
      <c r="I224" s="10">
        <f>I223+D224+G224</f>
      </c>
      <c r="J224" s="10">
        <f>J223+E224</f>
      </c>
      <c r="K224" s="10">
        <f>K223+F224+G224</f>
      </c>
    </row>
    <row r="225" spans="1:11" x14ac:dyDescent="0.25">
      <c r="A225">
        <v>223</v>
      </c>
      <c r="B225">
        <f>INT((A225-1)/12)+1</f>
      </c>
      <c r="C225" s="10">
        <f>H224</f>
      </c>
      <c r="D225" s="10">
        <f>IF(C225&lt;=0,0,MIN(-PMT(InterestRate/12,LoanYears*12,LoanAmount),C225+E225))</f>
      </c>
      <c r="E225" s="10">
        <f>IF(C225&gt;0,C225*InterestRate/12,0)</f>
      </c>
      <c r="F225" s="10">
        <f>D225-E225</f>
      </c>
      <c r="G225" s="10">
        <f>IF(AND(BonusFlag="あり",MOD(A225,6)=0,C225-F225&gt;0),MIN(BonusAmount,C225-F225),0)</f>
      </c>
      <c r="H225" s="10">
        <f>MAX(C225-F225-G225,0)</f>
      </c>
      <c r="I225" s="10">
        <f>I224+D225+G225</f>
      </c>
      <c r="J225" s="10">
        <f>J224+E225</f>
      </c>
      <c r="K225" s="10">
        <f>K224+F225+G225</f>
      </c>
    </row>
    <row r="226" spans="1:11" x14ac:dyDescent="0.25">
      <c r="A226">
        <v>224</v>
      </c>
      <c r="B226">
        <f>INT((A226-1)/12)+1</f>
      </c>
      <c r="C226" s="10">
        <f>H225</f>
      </c>
      <c r="D226" s="10">
        <f>IF(C226&lt;=0,0,MIN(-PMT(InterestRate/12,LoanYears*12,LoanAmount),C226+E226))</f>
      </c>
      <c r="E226" s="10">
        <f>IF(C226&gt;0,C226*InterestRate/12,0)</f>
      </c>
      <c r="F226" s="10">
        <f>D226-E226</f>
      </c>
      <c r="G226" s="10">
        <f>IF(AND(BonusFlag="あり",MOD(A226,6)=0,C226-F226&gt;0),MIN(BonusAmount,C226-F226),0)</f>
      </c>
      <c r="H226" s="10">
        <f>MAX(C226-F226-G226,0)</f>
      </c>
      <c r="I226" s="10">
        <f>I225+D226+G226</f>
      </c>
      <c r="J226" s="10">
        <f>J225+E226</f>
      </c>
      <c r="K226" s="10">
        <f>K225+F226+G226</f>
      </c>
    </row>
    <row r="227" spans="1:11" x14ac:dyDescent="0.25">
      <c r="A227">
        <v>225</v>
      </c>
      <c r="B227">
        <f>INT((A227-1)/12)+1</f>
      </c>
      <c r="C227" s="10">
        <f>H226</f>
      </c>
      <c r="D227" s="10">
        <f>IF(C227&lt;=0,0,MIN(-PMT(InterestRate/12,LoanYears*12,LoanAmount),C227+E227))</f>
      </c>
      <c r="E227" s="10">
        <f>IF(C227&gt;0,C227*InterestRate/12,0)</f>
      </c>
      <c r="F227" s="10">
        <f>D227-E227</f>
      </c>
      <c r="G227" s="10">
        <f>IF(AND(BonusFlag="あり",MOD(A227,6)=0,C227-F227&gt;0),MIN(BonusAmount,C227-F227),0)</f>
      </c>
      <c r="H227" s="10">
        <f>MAX(C227-F227-G227,0)</f>
      </c>
      <c r="I227" s="10">
        <f>I226+D227+G227</f>
      </c>
      <c r="J227" s="10">
        <f>J226+E227</f>
      </c>
      <c r="K227" s="10">
        <f>K226+F227+G227</f>
      </c>
    </row>
    <row r="228" spans="1:11" x14ac:dyDescent="0.25">
      <c r="A228">
        <v>226</v>
      </c>
      <c r="B228">
        <f>INT((A228-1)/12)+1</f>
      </c>
      <c r="C228" s="10">
        <f>H227</f>
      </c>
      <c r="D228" s="10">
        <f>IF(C228&lt;=0,0,MIN(-PMT(InterestRate/12,LoanYears*12,LoanAmount),C228+E228))</f>
      </c>
      <c r="E228" s="10">
        <f>IF(C228&gt;0,C228*InterestRate/12,0)</f>
      </c>
      <c r="F228" s="10">
        <f>D228-E228</f>
      </c>
      <c r="G228" s="10">
        <f>IF(AND(BonusFlag="あり",MOD(A228,6)=0,C228-F228&gt;0),MIN(BonusAmount,C228-F228),0)</f>
      </c>
      <c r="H228" s="10">
        <f>MAX(C228-F228-G228,0)</f>
      </c>
      <c r="I228" s="10">
        <f>I227+D228+G228</f>
      </c>
      <c r="J228" s="10">
        <f>J227+E228</f>
      </c>
      <c r="K228" s="10">
        <f>K227+F228+G228</f>
      </c>
    </row>
    <row r="229" spans="1:11" x14ac:dyDescent="0.25">
      <c r="A229">
        <v>227</v>
      </c>
      <c r="B229">
        <f>INT((A229-1)/12)+1</f>
      </c>
      <c r="C229" s="10">
        <f>H228</f>
      </c>
      <c r="D229" s="10">
        <f>IF(C229&lt;=0,0,MIN(-PMT(InterestRate/12,LoanYears*12,LoanAmount),C229+E229))</f>
      </c>
      <c r="E229" s="10">
        <f>IF(C229&gt;0,C229*InterestRate/12,0)</f>
      </c>
      <c r="F229" s="10">
        <f>D229-E229</f>
      </c>
      <c r="G229" s="10">
        <f>IF(AND(BonusFlag="あり",MOD(A229,6)=0,C229-F229&gt;0),MIN(BonusAmount,C229-F229),0)</f>
      </c>
      <c r="H229" s="10">
        <f>MAX(C229-F229-G229,0)</f>
      </c>
      <c r="I229" s="10">
        <f>I228+D229+G229</f>
      </c>
      <c r="J229" s="10">
        <f>J228+E229</f>
      </c>
      <c r="K229" s="10">
        <f>K228+F229+G229</f>
      </c>
    </row>
    <row r="230" spans="1:11" x14ac:dyDescent="0.25">
      <c r="A230">
        <v>228</v>
      </c>
      <c r="B230">
        <f>INT((A230-1)/12)+1</f>
      </c>
      <c r="C230" s="10">
        <f>H229</f>
      </c>
      <c r="D230" s="10">
        <f>IF(C230&lt;=0,0,MIN(-PMT(InterestRate/12,LoanYears*12,LoanAmount),C230+E230))</f>
      </c>
      <c r="E230" s="10">
        <f>IF(C230&gt;0,C230*InterestRate/12,0)</f>
      </c>
      <c r="F230" s="10">
        <f>D230-E230</f>
      </c>
      <c r="G230" s="10">
        <f>IF(AND(BonusFlag="あり",MOD(A230,6)=0,C230-F230&gt;0),MIN(BonusAmount,C230-F230),0)</f>
      </c>
      <c r="H230" s="10">
        <f>MAX(C230-F230-G230,0)</f>
      </c>
      <c r="I230" s="10">
        <f>I229+D230+G230</f>
      </c>
      <c r="J230" s="10">
        <f>J229+E230</f>
      </c>
      <c r="K230" s="10">
        <f>K229+F230+G230</f>
      </c>
    </row>
    <row r="231" spans="1:11" x14ac:dyDescent="0.25">
      <c r="A231">
        <v>229</v>
      </c>
      <c r="B231">
        <f>INT((A231-1)/12)+1</f>
      </c>
      <c r="C231" s="10">
        <f>H230</f>
      </c>
      <c r="D231" s="10">
        <f>IF(C231&lt;=0,0,MIN(-PMT(InterestRate/12,LoanYears*12,LoanAmount),C231+E231))</f>
      </c>
      <c r="E231" s="10">
        <f>IF(C231&gt;0,C231*InterestRate/12,0)</f>
      </c>
      <c r="F231" s="10">
        <f>D231-E231</f>
      </c>
      <c r="G231" s="10">
        <f>IF(AND(BonusFlag="あり",MOD(A231,6)=0,C231-F231&gt;0),MIN(BonusAmount,C231-F231),0)</f>
      </c>
      <c r="H231" s="10">
        <f>MAX(C231-F231-G231,0)</f>
      </c>
      <c r="I231" s="10">
        <f>I230+D231+G231</f>
      </c>
      <c r="J231" s="10">
        <f>J230+E231</f>
      </c>
      <c r="K231" s="10">
        <f>K230+F231+G231</f>
      </c>
    </row>
    <row r="232" spans="1:11" x14ac:dyDescent="0.25">
      <c r="A232">
        <v>230</v>
      </c>
      <c r="B232">
        <f>INT((A232-1)/12)+1</f>
      </c>
      <c r="C232" s="10">
        <f>H231</f>
      </c>
      <c r="D232" s="10">
        <f>IF(C232&lt;=0,0,MIN(-PMT(InterestRate/12,LoanYears*12,LoanAmount),C232+E232))</f>
      </c>
      <c r="E232" s="10">
        <f>IF(C232&gt;0,C232*InterestRate/12,0)</f>
      </c>
      <c r="F232" s="10">
        <f>D232-E232</f>
      </c>
      <c r="G232" s="10">
        <f>IF(AND(BonusFlag="あり",MOD(A232,6)=0,C232-F232&gt;0),MIN(BonusAmount,C232-F232),0)</f>
      </c>
      <c r="H232" s="10">
        <f>MAX(C232-F232-G232,0)</f>
      </c>
      <c r="I232" s="10">
        <f>I231+D232+G232</f>
      </c>
      <c r="J232" s="10">
        <f>J231+E232</f>
      </c>
      <c r="K232" s="10">
        <f>K231+F232+G232</f>
      </c>
    </row>
    <row r="233" spans="1:11" x14ac:dyDescent="0.25">
      <c r="A233">
        <v>231</v>
      </c>
      <c r="B233">
        <f>INT((A233-1)/12)+1</f>
      </c>
      <c r="C233" s="10">
        <f>H232</f>
      </c>
      <c r="D233" s="10">
        <f>IF(C233&lt;=0,0,MIN(-PMT(InterestRate/12,LoanYears*12,LoanAmount),C233+E233))</f>
      </c>
      <c r="E233" s="10">
        <f>IF(C233&gt;0,C233*InterestRate/12,0)</f>
      </c>
      <c r="F233" s="10">
        <f>D233-E233</f>
      </c>
      <c r="G233" s="10">
        <f>IF(AND(BonusFlag="あり",MOD(A233,6)=0,C233-F233&gt;0),MIN(BonusAmount,C233-F233),0)</f>
      </c>
      <c r="H233" s="10">
        <f>MAX(C233-F233-G233,0)</f>
      </c>
      <c r="I233" s="10">
        <f>I232+D233+G233</f>
      </c>
      <c r="J233" s="10">
        <f>J232+E233</f>
      </c>
      <c r="K233" s="10">
        <f>K232+F233+G233</f>
      </c>
    </row>
    <row r="234" spans="1:11" x14ac:dyDescent="0.25">
      <c r="A234">
        <v>232</v>
      </c>
      <c r="B234">
        <f>INT((A234-1)/12)+1</f>
      </c>
      <c r="C234" s="10">
        <f>H233</f>
      </c>
      <c r="D234" s="10">
        <f>IF(C234&lt;=0,0,MIN(-PMT(InterestRate/12,LoanYears*12,LoanAmount),C234+E234))</f>
      </c>
      <c r="E234" s="10">
        <f>IF(C234&gt;0,C234*InterestRate/12,0)</f>
      </c>
      <c r="F234" s="10">
        <f>D234-E234</f>
      </c>
      <c r="G234" s="10">
        <f>IF(AND(BonusFlag="あり",MOD(A234,6)=0,C234-F234&gt;0),MIN(BonusAmount,C234-F234),0)</f>
      </c>
      <c r="H234" s="10">
        <f>MAX(C234-F234-G234,0)</f>
      </c>
      <c r="I234" s="10">
        <f>I233+D234+G234</f>
      </c>
      <c r="J234" s="10">
        <f>J233+E234</f>
      </c>
      <c r="K234" s="10">
        <f>K233+F234+G234</f>
      </c>
    </row>
    <row r="235" spans="1:11" x14ac:dyDescent="0.25">
      <c r="A235">
        <v>233</v>
      </c>
      <c r="B235">
        <f>INT((A235-1)/12)+1</f>
      </c>
      <c r="C235" s="10">
        <f>H234</f>
      </c>
      <c r="D235" s="10">
        <f>IF(C235&lt;=0,0,MIN(-PMT(InterestRate/12,LoanYears*12,LoanAmount),C235+E235))</f>
      </c>
      <c r="E235" s="10">
        <f>IF(C235&gt;0,C235*InterestRate/12,0)</f>
      </c>
      <c r="F235" s="10">
        <f>D235-E235</f>
      </c>
      <c r="G235" s="10">
        <f>IF(AND(BonusFlag="あり",MOD(A235,6)=0,C235-F235&gt;0),MIN(BonusAmount,C235-F235),0)</f>
      </c>
      <c r="H235" s="10">
        <f>MAX(C235-F235-G235,0)</f>
      </c>
      <c r="I235" s="10">
        <f>I234+D235+G235</f>
      </c>
      <c r="J235" s="10">
        <f>J234+E235</f>
      </c>
      <c r="K235" s="10">
        <f>K234+F235+G235</f>
      </c>
    </row>
    <row r="236" spans="1:11" x14ac:dyDescent="0.25">
      <c r="A236">
        <v>234</v>
      </c>
      <c r="B236">
        <f>INT((A236-1)/12)+1</f>
      </c>
      <c r="C236" s="10">
        <f>H235</f>
      </c>
      <c r="D236" s="10">
        <f>IF(C236&lt;=0,0,MIN(-PMT(InterestRate/12,LoanYears*12,LoanAmount),C236+E236))</f>
      </c>
      <c r="E236" s="10">
        <f>IF(C236&gt;0,C236*InterestRate/12,0)</f>
      </c>
      <c r="F236" s="10">
        <f>D236-E236</f>
      </c>
      <c r="G236" s="10">
        <f>IF(AND(BonusFlag="あり",MOD(A236,6)=0,C236-F236&gt;0),MIN(BonusAmount,C236-F236),0)</f>
      </c>
      <c r="H236" s="10">
        <f>MAX(C236-F236-G236,0)</f>
      </c>
      <c r="I236" s="10">
        <f>I235+D236+G236</f>
      </c>
      <c r="J236" s="10">
        <f>J235+E236</f>
      </c>
      <c r="K236" s="10">
        <f>K235+F236+G236</f>
      </c>
    </row>
    <row r="237" spans="1:11" x14ac:dyDescent="0.25">
      <c r="A237">
        <v>235</v>
      </c>
      <c r="B237">
        <f>INT((A237-1)/12)+1</f>
      </c>
      <c r="C237" s="10">
        <f>H236</f>
      </c>
      <c r="D237" s="10">
        <f>IF(C237&lt;=0,0,MIN(-PMT(InterestRate/12,LoanYears*12,LoanAmount),C237+E237))</f>
      </c>
      <c r="E237" s="10">
        <f>IF(C237&gt;0,C237*InterestRate/12,0)</f>
      </c>
      <c r="F237" s="10">
        <f>D237-E237</f>
      </c>
      <c r="G237" s="10">
        <f>IF(AND(BonusFlag="あり",MOD(A237,6)=0,C237-F237&gt;0),MIN(BonusAmount,C237-F237),0)</f>
      </c>
      <c r="H237" s="10">
        <f>MAX(C237-F237-G237,0)</f>
      </c>
      <c r="I237" s="10">
        <f>I236+D237+G237</f>
      </c>
      <c r="J237" s="10">
        <f>J236+E237</f>
      </c>
      <c r="K237" s="10">
        <f>K236+F237+G237</f>
      </c>
    </row>
    <row r="238" spans="1:11" x14ac:dyDescent="0.25">
      <c r="A238">
        <v>236</v>
      </c>
      <c r="B238">
        <f>INT((A238-1)/12)+1</f>
      </c>
      <c r="C238" s="10">
        <f>H237</f>
      </c>
      <c r="D238" s="10">
        <f>IF(C238&lt;=0,0,MIN(-PMT(InterestRate/12,LoanYears*12,LoanAmount),C238+E238))</f>
      </c>
      <c r="E238" s="10">
        <f>IF(C238&gt;0,C238*InterestRate/12,0)</f>
      </c>
      <c r="F238" s="10">
        <f>D238-E238</f>
      </c>
      <c r="G238" s="10">
        <f>IF(AND(BonusFlag="あり",MOD(A238,6)=0,C238-F238&gt;0),MIN(BonusAmount,C238-F238),0)</f>
      </c>
      <c r="H238" s="10">
        <f>MAX(C238-F238-G238,0)</f>
      </c>
      <c r="I238" s="10">
        <f>I237+D238+G238</f>
      </c>
      <c r="J238" s="10">
        <f>J237+E238</f>
      </c>
      <c r="K238" s="10">
        <f>K237+F238+G238</f>
      </c>
    </row>
    <row r="239" spans="1:11" x14ac:dyDescent="0.25">
      <c r="A239">
        <v>237</v>
      </c>
      <c r="B239">
        <f>INT((A239-1)/12)+1</f>
      </c>
      <c r="C239" s="10">
        <f>H238</f>
      </c>
      <c r="D239" s="10">
        <f>IF(C239&lt;=0,0,MIN(-PMT(InterestRate/12,LoanYears*12,LoanAmount),C239+E239))</f>
      </c>
      <c r="E239" s="10">
        <f>IF(C239&gt;0,C239*InterestRate/12,0)</f>
      </c>
      <c r="F239" s="10">
        <f>D239-E239</f>
      </c>
      <c r="G239" s="10">
        <f>IF(AND(BonusFlag="あり",MOD(A239,6)=0,C239-F239&gt;0),MIN(BonusAmount,C239-F239),0)</f>
      </c>
      <c r="H239" s="10">
        <f>MAX(C239-F239-G239,0)</f>
      </c>
      <c r="I239" s="10">
        <f>I238+D239+G239</f>
      </c>
      <c r="J239" s="10">
        <f>J238+E239</f>
      </c>
      <c r="K239" s="10">
        <f>K238+F239+G239</f>
      </c>
    </row>
    <row r="240" spans="1:11" x14ac:dyDescent="0.25">
      <c r="A240">
        <v>238</v>
      </c>
      <c r="B240">
        <f>INT((A240-1)/12)+1</f>
      </c>
      <c r="C240" s="10">
        <f>H239</f>
      </c>
      <c r="D240" s="10">
        <f>IF(C240&lt;=0,0,MIN(-PMT(InterestRate/12,LoanYears*12,LoanAmount),C240+E240))</f>
      </c>
      <c r="E240" s="10">
        <f>IF(C240&gt;0,C240*InterestRate/12,0)</f>
      </c>
      <c r="F240" s="10">
        <f>D240-E240</f>
      </c>
      <c r="G240" s="10">
        <f>IF(AND(BonusFlag="あり",MOD(A240,6)=0,C240-F240&gt;0),MIN(BonusAmount,C240-F240),0)</f>
      </c>
      <c r="H240" s="10">
        <f>MAX(C240-F240-G240,0)</f>
      </c>
      <c r="I240" s="10">
        <f>I239+D240+G240</f>
      </c>
      <c r="J240" s="10">
        <f>J239+E240</f>
      </c>
      <c r="K240" s="10">
        <f>K239+F240+G240</f>
      </c>
    </row>
    <row r="241" spans="1:11" x14ac:dyDescent="0.25">
      <c r="A241">
        <v>239</v>
      </c>
      <c r="B241">
        <f>INT((A241-1)/12)+1</f>
      </c>
      <c r="C241" s="10">
        <f>H240</f>
      </c>
      <c r="D241" s="10">
        <f>IF(C241&lt;=0,0,MIN(-PMT(InterestRate/12,LoanYears*12,LoanAmount),C241+E241))</f>
      </c>
      <c r="E241" s="10">
        <f>IF(C241&gt;0,C241*InterestRate/12,0)</f>
      </c>
      <c r="F241" s="10">
        <f>D241-E241</f>
      </c>
      <c r="G241" s="10">
        <f>IF(AND(BonusFlag="あり",MOD(A241,6)=0,C241-F241&gt;0),MIN(BonusAmount,C241-F241),0)</f>
      </c>
      <c r="H241" s="10">
        <f>MAX(C241-F241-G241,0)</f>
      </c>
      <c r="I241" s="10">
        <f>I240+D241+G241</f>
      </c>
      <c r="J241" s="10">
        <f>J240+E241</f>
      </c>
      <c r="K241" s="10">
        <f>K240+F241+G241</f>
      </c>
    </row>
    <row r="242" spans="1:11" x14ac:dyDescent="0.25">
      <c r="A242">
        <v>240</v>
      </c>
      <c r="B242">
        <f>INT((A242-1)/12)+1</f>
      </c>
      <c r="C242" s="10">
        <f>H241</f>
      </c>
      <c r="D242" s="10">
        <f>IF(C242&lt;=0,0,MIN(-PMT(InterestRate/12,LoanYears*12,LoanAmount),C242+E242))</f>
      </c>
      <c r="E242" s="10">
        <f>IF(C242&gt;0,C242*InterestRate/12,0)</f>
      </c>
      <c r="F242" s="10">
        <f>D242-E242</f>
      </c>
      <c r="G242" s="10">
        <f>IF(AND(BonusFlag="あり",MOD(A242,6)=0,C242-F242&gt;0),MIN(BonusAmount,C242-F242),0)</f>
      </c>
      <c r="H242" s="10">
        <f>MAX(C242-F242-G242,0)</f>
      </c>
      <c r="I242" s="10">
        <f>I241+D242+G242</f>
      </c>
      <c r="J242" s="10">
        <f>J241+E242</f>
      </c>
      <c r="K242" s="10">
        <f>K241+F242+G242</f>
      </c>
    </row>
    <row r="243" spans="1:11" x14ac:dyDescent="0.25">
      <c r="A243">
        <v>241</v>
      </c>
      <c r="B243">
        <f>INT((A243-1)/12)+1</f>
      </c>
      <c r="C243" s="10">
        <f>H242</f>
      </c>
      <c r="D243" s="10">
        <f>IF(C243&lt;=0,0,MIN(-PMT(InterestRate/12,LoanYears*12,LoanAmount),C243+E243))</f>
      </c>
      <c r="E243" s="10">
        <f>IF(C243&gt;0,C243*InterestRate/12,0)</f>
      </c>
      <c r="F243" s="10">
        <f>D243-E243</f>
      </c>
      <c r="G243" s="10">
        <f>IF(AND(BonusFlag="あり",MOD(A243,6)=0,C243-F243&gt;0),MIN(BonusAmount,C243-F243),0)</f>
      </c>
      <c r="H243" s="10">
        <f>MAX(C243-F243-G243,0)</f>
      </c>
      <c r="I243" s="10">
        <f>I242+D243+G243</f>
      </c>
      <c r="J243" s="10">
        <f>J242+E243</f>
      </c>
      <c r="K243" s="10">
        <f>K242+F243+G243</f>
      </c>
    </row>
    <row r="244" spans="1:11" x14ac:dyDescent="0.25">
      <c r="A244">
        <v>242</v>
      </c>
      <c r="B244">
        <f>INT((A244-1)/12)+1</f>
      </c>
      <c r="C244" s="10">
        <f>H243</f>
      </c>
      <c r="D244" s="10">
        <f>IF(C244&lt;=0,0,MIN(-PMT(InterestRate/12,LoanYears*12,LoanAmount),C244+E244))</f>
      </c>
      <c r="E244" s="10">
        <f>IF(C244&gt;0,C244*InterestRate/12,0)</f>
      </c>
      <c r="F244" s="10">
        <f>D244-E244</f>
      </c>
      <c r="G244" s="10">
        <f>IF(AND(BonusFlag="あり",MOD(A244,6)=0,C244-F244&gt;0),MIN(BonusAmount,C244-F244),0)</f>
      </c>
      <c r="H244" s="10">
        <f>MAX(C244-F244-G244,0)</f>
      </c>
      <c r="I244" s="10">
        <f>I243+D244+G244</f>
      </c>
      <c r="J244" s="10">
        <f>J243+E244</f>
      </c>
      <c r="K244" s="10">
        <f>K243+F244+G244</f>
      </c>
    </row>
    <row r="245" spans="1:11" x14ac:dyDescent="0.25">
      <c r="A245">
        <v>243</v>
      </c>
      <c r="B245">
        <f>INT((A245-1)/12)+1</f>
      </c>
      <c r="C245" s="10">
        <f>H244</f>
      </c>
      <c r="D245" s="10">
        <f>IF(C245&lt;=0,0,MIN(-PMT(InterestRate/12,LoanYears*12,LoanAmount),C245+E245))</f>
      </c>
      <c r="E245" s="10">
        <f>IF(C245&gt;0,C245*InterestRate/12,0)</f>
      </c>
      <c r="F245" s="10">
        <f>D245-E245</f>
      </c>
      <c r="G245" s="10">
        <f>IF(AND(BonusFlag="あり",MOD(A245,6)=0,C245-F245&gt;0),MIN(BonusAmount,C245-F245),0)</f>
      </c>
      <c r="H245" s="10">
        <f>MAX(C245-F245-G245,0)</f>
      </c>
      <c r="I245" s="10">
        <f>I244+D245+G245</f>
      </c>
      <c r="J245" s="10">
        <f>J244+E245</f>
      </c>
      <c r="K245" s="10">
        <f>K244+F245+G245</f>
      </c>
    </row>
    <row r="246" spans="1:11" x14ac:dyDescent="0.25">
      <c r="A246">
        <v>244</v>
      </c>
      <c r="B246">
        <f>INT((A246-1)/12)+1</f>
      </c>
      <c r="C246" s="10">
        <f>H245</f>
      </c>
      <c r="D246" s="10">
        <f>IF(C246&lt;=0,0,MIN(-PMT(InterestRate/12,LoanYears*12,LoanAmount),C246+E246))</f>
      </c>
      <c r="E246" s="10">
        <f>IF(C246&gt;0,C246*InterestRate/12,0)</f>
      </c>
      <c r="F246" s="10">
        <f>D246-E246</f>
      </c>
      <c r="G246" s="10">
        <f>IF(AND(BonusFlag="あり",MOD(A246,6)=0,C246-F246&gt;0),MIN(BonusAmount,C246-F246),0)</f>
      </c>
      <c r="H246" s="10">
        <f>MAX(C246-F246-G246,0)</f>
      </c>
      <c r="I246" s="10">
        <f>I245+D246+G246</f>
      </c>
      <c r="J246" s="10">
        <f>J245+E246</f>
      </c>
      <c r="K246" s="10">
        <f>K245+F246+G246</f>
      </c>
    </row>
    <row r="247" spans="1:11" x14ac:dyDescent="0.25">
      <c r="A247">
        <v>245</v>
      </c>
      <c r="B247">
        <f>INT((A247-1)/12)+1</f>
      </c>
      <c r="C247" s="10">
        <f>H246</f>
      </c>
      <c r="D247" s="10">
        <f>IF(C247&lt;=0,0,MIN(-PMT(InterestRate/12,LoanYears*12,LoanAmount),C247+E247))</f>
      </c>
      <c r="E247" s="10">
        <f>IF(C247&gt;0,C247*InterestRate/12,0)</f>
      </c>
      <c r="F247" s="10">
        <f>D247-E247</f>
      </c>
      <c r="G247" s="10">
        <f>IF(AND(BonusFlag="あり",MOD(A247,6)=0,C247-F247&gt;0),MIN(BonusAmount,C247-F247),0)</f>
      </c>
      <c r="H247" s="10">
        <f>MAX(C247-F247-G247,0)</f>
      </c>
      <c r="I247" s="10">
        <f>I246+D247+G247</f>
      </c>
      <c r="J247" s="10">
        <f>J246+E247</f>
      </c>
      <c r="K247" s="10">
        <f>K246+F247+G247</f>
      </c>
    </row>
    <row r="248" spans="1:11" x14ac:dyDescent="0.25">
      <c r="A248">
        <v>246</v>
      </c>
      <c r="B248">
        <f>INT((A248-1)/12)+1</f>
      </c>
      <c r="C248" s="10">
        <f>H247</f>
      </c>
      <c r="D248" s="10">
        <f>IF(C248&lt;=0,0,MIN(-PMT(InterestRate/12,LoanYears*12,LoanAmount),C248+E248))</f>
      </c>
      <c r="E248" s="10">
        <f>IF(C248&gt;0,C248*InterestRate/12,0)</f>
      </c>
      <c r="F248" s="10">
        <f>D248-E248</f>
      </c>
      <c r="G248" s="10">
        <f>IF(AND(BonusFlag="あり",MOD(A248,6)=0,C248-F248&gt;0),MIN(BonusAmount,C248-F248),0)</f>
      </c>
      <c r="H248" s="10">
        <f>MAX(C248-F248-G248,0)</f>
      </c>
      <c r="I248" s="10">
        <f>I247+D248+G248</f>
      </c>
      <c r="J248" s="10">
        <f>J247+E248</f>
      </c>
      <c r="K248" s="10">
        <f>K247+F248+G248</f>
      </c>
    </row>
    <row r="249" spans="1:11" x14ac:dyDescent="0.25">
      <c r="A249">
        <v>247</v>
      </c>
      <c r="B249">
        <f>INT((A249-1)/12)+1</f>
      </c>
      <c r="C249" s="10">
        <f>H248</f>
      </c>
      <c r="D249" s="10">
        <f>IF(C249&lt;=0,0,MIN(-PMT(InterestRate/12,LoanYears*12,LoanAmount),C249+E249))</f>
      </c>
      <c r="E249" s="10">
        <f>IF(C249&gt;0,C249*InterestRate/12,0)</f>
      </c>
      <c r="F249" s="10">
        <f>D249-E249</f>
      </c>
      <c r="G249" s="10">
        <f>IF(AND(BonusFlag="あり",MOD(A249,6)=0,C249-F249&gt;0),MIN(BonusAmount,C249-F249),0)</f>
      </c>
      <c r="H249" s="10">
        <f>MAX(C249-F249-G249,0)</f>
      </c>
      <c r="I249" s="10">
        <f>I248+D249+G249</f>
      </c>
      <c r="J249" s="10">
        <f>J248+E249</f>
      </c>
      <c r="K249" s="10">
        <f>K248+F249+G249</f>
      </c>
    </row>
    <row r="250" spans="1:11" x14ac:dyDescent="0.25">
      <c r="A250">
        <v>248</v>
      </c>
      <c r="B250">
        <f>INT((A250-1)/12)+1</f>
      </c>
      <c r="C250" s="10">
        <f>H249</f>
      </c>
      <c r="D250" s="10">
        <f>IF(C250&lt;=0,0,MIN(-PMT(InterestRate/12,LoanYears*12,LoanAmount),C250+E250))</f>
      </c>
      <c r="E250" s="10">
        <f>IF(C250&gt;0,C250*InterestRate/12,0)</f>
      </c>
      <c r="F250" s="10">
        <f>D250-E250</f>
      </c>
      <c r="G250" s="10">
        <f>IF(AND(BonusFlag="あり",MOD(A250,6)=0,C250-F250&gt;0),MIN(BonusAmount,C250-F250),0)</f>
      </c>
      <c r="H250" s="10">
        <f>MAX(C250-F250-G250,0)</f>
      </c>
      <c r="I250" s="10">
        <f>I249+D250+G250</f>
      </c>
      <c r="J250" s="10">
        <f>J249+E250</f>
      </c>
      <c r="K250" s="10">
        <f>K249+F250+G250</f>
      </c>
    </row>
    <row r="251" spans="1:11" x14ac:dyDescent="0.25">
      <c r="A251">
        <v>249</v>
      </c>
      <c r="B251">
        <f>INT((A251-1)/12)+1</f>
      </c>
      <c r="C251" s="10">
        <f>H250</f>
      </c>
      <c r="D251" s="10">
        <f>IF(C251&lt;=0,0,MIN(-PMT(InterestRate/12,LoanYears*12,LoanAmount),C251+E251))</f>
      </c>
      <c r="E251" s="10">
        <f>IF(C251&gt;0,C251*InterestRate/12,0)</f>
      </c>
      <c r="F251" s="10">
        <f>D251-E251</f>
      </c>
      <c r="G251" s="10">
        <f>IF(AND(BonusFlag="あり",MOD(A251,6)=0,C251-F251&gt;0),MIN(BonusAmount,C251-F251),0)</f>
      </c>
      <c r="H251" s="10">
        <f>MAX(C251-F251-G251,0)</f>
      </c>
      <c r="I251" s="10">
        <f>I250+D251+G251</f>
      </c>
      <c r="J251" s="10">
        <f>J250+E251</f>
      </c>
      <c r="K251" s="10">
        <f>K250+F251+G251</f>
      </c>
    </row>
    <row r="252" spans="1:11" x14ac:dyDescent="0.25">
      <c r="A252">
        <v>250</v>
      </c>
      <c r="B252">
        <f>INT((A252-1)/12)+1</f>
      </c>
      <c r="C252" s="10">
        <f>H251</f>
      </c>
      <c r="D252" s="10">
        <f>IF(C252&lt;=0,0,MIN(-PMT(InterestRate/12,LoanYears*12,LoanAmount),C252+E252))</f>
      </c>
      <c r="E252" s="10">
        <f>IF(C252&gt;0,C252*InterestRate/12,0)</f>
      </c>
      <c r="F252" s="10">
        <f>D252-E252</f>
      </c>
      <c r="G252" s="10">
        <f>IF(AND(BonusFlag="あり",MOD(A252,6)=0,C252-F252&gt;0),MIN(BonusAmount,C252-F252),0)</f>
      </c>
      <c r="H252" s="10">
        <f>MAX(C252-F252-G252,0)</f>
      </c>
      <c r="I252" s="10">
        <f>I251+D252+G252</f>
      </c>
      <c r="J252" s="10">
        <f>J251+E252</f>
      </c>
      <c r="K252" s="10">
        <f>K251+F252+G252</f>
      </c>
    </row>
    <row r="253" spans="1:11" x14ac:dyDescent="0.25">
      <c r="A253">
        <v>251</v>
      </c>
      <c r="B253">
        <f>INT((A253-1)/12)+1</f>
      </c>
      <c r="C253" s="10">
        <f>H252</f>
      </c>
      <c r="D253" s="10">
        <f>IF(C253&lt;=0,0,MIN(-PMT(InterestRate/12,LoanYears*12,LoanAmount),C253+E253))</f>
      </c>
      <c r="E253" s="10">
        <f>IF(C253&gt;0,C253*InterestRate/12,0)</f>
      </c>
      <c r="F253" s="10">
        <f>D253-E253</f>
      </c>
      <c r="G253" s="10">
        <f>IF(AND(BonusFlag="あり",MOD(A253,6)=0,C253-F253&gt;0),MIN(BonusAmount,C253-F253),0)</f>
      </c>
      <c r="H253" s="10">
        <f>MAX(C253-F253-G253,0)</f>
      </c>
      <c r="I253" s="10">
        <f>I252+D253+G253</f>
      </c>
      <c r="J253" s="10">
        <f>J252+E253</f>
      </c>
      <c r="K253" s="10">
        <f>K252+F253+G253</f>
      </c>
    </row>
    <row r="254" spans="1:11" x14ac:dyDescent="0.25">
      <c r="A254">
        <v>252</v>
      </c>
      <c r="B254">
        <f>INT((A254-1)/12)+1</f>
      </c>
      <c r="C254" s="10">
        <f>H253</f>
      </c>
      <c r="D254" s="10">
        <f>IF(C254&lt;=0,0,MIN(-PMT(InterestRate/12,LoanYears*12,LoanAmount),C254+E254))</f>
      </c>
      <c r="E254" s="10">
        <f>IF(C254&gt;0,C254*InterestRate/12,0)</f>
      </c>
      <c r="F254" s="10">
        <f>D254-E254</f>
      </c>
      <c r="G254" s="10">
        <f>IF(AND(BonusFlag="あり",MOD(A254,6)=0,C254-F254&gt;0),MIN(BonusAmount,C254-F254),0)</f>
      </c>
      <c r="H254" s="10">
        <f>MAX(C254-F254-G254,0)</f>
      </c>
      <c r="I254" s="10">
        <f>I253+D254+G254</f>
      </c>
      <c r="J254" s="10">
        <f>J253+E254</f>
      </c>
      <c r="K254" s="10">
        <f>K253+F254+G254</f>
      </c>
    </row>
    <row r="255" spans="1:11" x14ac:dyDescent="0.25">
      <c r="A255">
        <v>253</v>
      </c>
      <c r="B255">
        <f>INT((A255-1)/12)+1</f>
      </c>
      <c r="C255" s="10">
        <f>H254</f>
      </c>
      <c r="D255" s="10">
        <f>IF(C255&lt;=0,0,MIN(-PMT(InterestRate/12,LoanYears*12,LoanAmount),C255+E255))</f>
      </c>
      <c r="E255" s="10">
        <f>IF(C255&gt;0,C255*InterestRate/12,0)</f>
      </c>
      <c r="F255" s="10">
        <f>D255-E255</f>
      </c>
      <c r="G255" s="10">
        <f>IF(AND(BonusFlag="あり",MOD(A255,6)=0,C255-F255&gt;0),MIN(BonusAmount,C255-F255),0)</f>
      </c>
      <c r="H255" s="10">
        <f>MAX(C255-F255-G255,0)</f>
      </c>
      <c r="I255" s="10">
        <f>I254+D255+G255</f>
      </c>
      <c r="J255" s="10">
        <f>J254+E255</f>
      </c>
      <c r="K255" s="10">
        <f>K254+F255+G255</f>
      </c>
    </row>
    <row r="256" spans="1:11" x14ac:dyDescent="0.25">
      <c r="A256">
        <v>254</v>
      </c>
      <c r="B256">
        <f>INT((A256-1)/12)+1</f>
      </c>
      <c r="C256" s="10">
        <f>H255</f>
      </c>
      <c r="D256" s="10">
        <f>IF(C256&lt;=0,0,MIN(-PMT(InterestRate/12,LoanYears*12,LoanAmount),C256+E256))</f>
      </c>
      <c r="E256" s="10">
        <f>IF(C256&gt;0,C256*InterestRate/12,0)</f>
      </c>
      <c r="F256" s="10">
        <f>D256-E256</f>
      </c>
      <c r="G256" s="10">
        <f>IF(AND(BonusFlag="あり",MOD(A256,6)=0,C256-F256&gt;0),MIN(BonusAmount,C256-F256),0)</f>
      </c>
      <c r="H256" s="10">
        <f>MAX(C256-F256-G256,0)</f>
      </c>
      <c r="I256" s="10">
        <f>I255+D256+G256</f>
      </c>
      <c r="J256" s="10">
        <f>J255+E256</f>
      </c>
      <c r="K256" s="10">
        <f>K255+F256+G256</f>
      </c>
    </row>
    <row r="257" spans="1:11" x14ac:dyDescent="0.25">
      <c r="A257">
        <v>255</v>
      </c>
      <c r="B257">
        <f>INT((A257-1)/12)+1</f>
      </c>
      <c r="C257" s="10">
        <f>H256</f>
      </c>
      <c r="D257" s="10">
        <f>IF(C257&lt;=0,0,MIN(-PMT(InterestRate/12,LoanYears*12,LoanAmount),C257+E257))</f>
      </c>
      <c r="E257" s="10">
        <f>IF(C257&gt;0,C257*InterestRate/12,0)</f>
      </c>
      <c r="F257" s="10">
        <f>D257-E257</f>
      </c>
      <c r="G257" s="10">
        <f>IF(AND(BonusFlag="あり",MOD(A257,6)=0,C257-F257&gt;0),MIN(BonusAmount,C257-F257),0)</f>
      </c>
      <c r="H257" s="10">
        <f>MAX(C257-F257-G257,0)</f>
      </c>
      <c r="I257" s="10">
        <f>I256+D257+G257</f>
      </c>
      <c r="J257" s="10">
        <f>J256+E257</f>
      </c>
      <c r="K257" s="10">
        <f>K256+F257+G257</f>
      </c>
    </row>
    <row r="258" spans="1:11" x14ac:dyDescent="0.25">
      <c r="A258">
        <v>256</v>
      </c>
      <c r="B258">
        <f>INT((A258-1)/12)+1</f>
      </c>
      <c r="C258" s="10">
        <f>H257</f>
      </c>
      <c r="D258" s="10">
        <f>IF(C258&lt;=0,0,MIN(-PMT(InterestRate/12,LoanYears*12,LoanAmount),C258+E258))</f>
      </c>
      <c r="E258" s="10">
        <f>IF(C258&gt;0,C258*InterestRate/12,0)</f>
      </c>
      <c r="F258" s="10">
        <f>D258-E258</f>
      </c>
      <c r="G258" s="10">
        <f>IF(AND(BonusFlag="あり",MOD(A258,6)=0,C258-F258&gt;0),MIN(BonusAmount,C258-F258),0)</f>
      </c>
      <c r="H258" s="10">
        <f>MAX(C258-F258-G258,0)</f>
      </c>
      <c r="I258" s="10">
        <f>I257+D258+G258</f>
      </c>
      <c r="J258" s="10">
        <f>J257+E258</f>
      </c>
      <c r="K258" s="10">
        <f>K257+F258+G258</f>
      </c>
    </row>
    <row r="259" spans="1:11" x14ac:dyDescent="0.25">
      <c r="A259">
        <v>257</v>
      </c>
      <c r="B259">
        <f>INT((A259-1)/12)+1</f>
      </c>
      <c r="C259" s="10">
        <f>H258</f>
      </c>
      <c r="D259" s="10">
        <f>IF(C259&lt;=0,0,MIN(-PMT(InterestRate/12,LoanYears*12,LoanAmount),C259+E259))</f>
      </c>
      <c r="E259" s="10">
        <f>IF(C259&gt;0,C259*InterestRate/12,0)</f>
      </c>
      <c r="F259" s="10">
        <f>D259-E259</f>
      </c>
      <c r="G259" s="10">
        <f>IF(AND(BonusFlag="あり",MOD(A259,6)=0,C259-F259&gt;0),MIN(BonusAmount,C259-F259),0)</f>
      </c>
      <c r="H259" s="10">
        <f>MAX(C259-F259-G259,0)</f>
      </c>
      <c r="I259" s="10">
        <f>I258+D259+G259</f>
      </c>
      <c r="J259" s="10">
        <f>J258+E259</f>
      </c>
      <c r="K259" s="10">
        <f>K258+F259+G259</f>
      </c>
    </row>
    <row r="260" spans="1:11" x14ac:dyDescent="0.25">
      <c r="A260">
        <v>258</v>
      </c>
      <c r="B260">
        <f>INT((A260-1)/12)+1</f>
      </c>
      <c r="C260" s="10">
        <f>H259</f>
      </c>
      <c r="D260" s="10">
        <f>IF(C260&lt;=0,0,MIN(-PMT(InterestRate/12,LoanYears*12,LoanAmount),C260+E260))</f>
      </c>
      <c r="E260" s="10">
        <f>IF(C260&gt;0,C260*InterestRate/12,0)</f>
      </c>
      <c r="F260" s="10">
        <f>D260-E260</f>
      </c>
      <c r="G260" s="10">
        <f>IF(AND(BonusFlag="あり",MOD(A260,6)=0,C260-F260&gt;0),MIN(BonusAmount,C260-F260),0)</f>
      </c>
      <c r="H260" s="10">
        <f>MAX(C260-F260-G260,0)</f>
      </c>
      <c r="I260" s="10">
        <f>I259+D260+G260</f>
      </c>
      <c r="J260" s="10">
        <f>J259+E260</f>
      </c>
      <c r="K260" s="10">
        <f>K259+F260+G260</f>
      </c>
    </row>
    <row r="261" spans="1:11" x14ac:dyDescent="0.25">
      <c r="A261">
        <v>259</v>
      </c>
      <c r="B261">
        <f>INT((A261-1)/12)+1</f>
      </c>
      <c r="C261" s="10">
        <f>H260</f>
      </c>
      <c r="D261" s="10">
        <f>IF(C261&lt;=0,0,MIN(-PMT(InterestRate/12,LoanYears*12,LoanAmount),C261+E261))</f>
      </c>
      <c r="E261" s="10">
        <f>IF(C261&gt;0,C261*InterestRate/12,0)</f>
      </c>
      <c r="F261" s="10">
        <f>D261-E261</f>
      </c>
      <c r="G261" s="10">
        <f>IF(AND(BonusFlag="あり",MOD(A261,6)=0,C261-F261&gt;0),MIN(BonusAmount,C261-F261),0)</f>
      </c>
      <c r="H261" s="10">
        <f>MAX(C261-F261-G261,0)</f>
      </c>
      <c r="I261" s="10">
        <f>I260+D261+G261</f>
      </c>
      <c r="J261" s="10">
        <f>J260+E261</f>
      </c>
      <c r="K261" s="10">
        <f>K260+F261+G261</f>
      </c>
    </row>
    <row r="262" spans="1:11" x14ac:dyDescent="0.25">
      <c r="A262">
        <v>260</v>
      </c>
      <c r="B262">
        <f>INT((A262-1)/12)+1</f>
      </c>
      <c r="C262" s="10">
        <f>H261</f>
      </c>
      <c r="D262" s="10">
        <f>IF(C262&lt;=0,0,MIN(-PMT(InterestRate/12,LoanYears*12,LoanAmount),C262+E262))</f>
      </c>
      <c r="E262" s="10">
        <f>IF(C262&gt;0,C262*InterestRate/12,0)</f>
      </c>
      <c r="F262" s="10">
        <f>D262-E262</f>
      </c>
      <c r="G262" s="10">
        <f>IF(AND(BonusFlag="あり",MOD(A262,6)=0,C262-F262&gt;0),MIN(BonusAmount,C262-F262),0)</f>
      </c>
      <c r="H262" s="10">
        <f>MAX(C262-F262-G262,0)</f>
      </c>
      <c r="I262" s="10">
        <f>I261+D262+G262</f>
      </c>
      <c r="J262" s="10">
        <f>J261+E262</f>
      </c>
      <c r="K262" s="10">
        <f>K261+F262+G262</f>
      </c>
    </row>
    <row r="263" spans="1:11" x14ac:dyDescent="0.25">
      <c r="A263">
        <v>261</v>
      </c>
      <c r="B263">
        <f>INT((A263-1)/12)+1</f>
      </c>
      <c r="C263" s="10">
        <f>H262</f>
      </c>
      <c r="D263" s="10">
        <f>IF(C263&lt;=0,0,MIN(-PMT(InterestRate/12,LoanYears*12,LoanAmount),C263+E263))</f>
      </c>
      <c r="E263" s="10">
        <f>IF(C263&gt;0,C263*InterestRate/12,0)</f>
      </c>
      <c r="F263" s="10">
        <f>D263-E263</f>
      </c>
      <c r="G263" s="10">
        <f>IF(AND(BonusFlag="あり",MOD(A263,6)=0,C263-F263&gt;0),MIN(BonusAmount,C263-F263),0)</f>
      </c>
      <c r="H263" s="10">
        <f>MAX(C263-F263-G263,0)</f>
      </c>
      <c r="I263" s="10">
        <f>I262+D263+G263</f>
      </c>
      <c r="J263" s="10">
        <f>J262+E263</f>
      </c>
      <c r="K263" s="10">
        <f>K262+F263+G263</f>
      </c>
    </row>
    <row r="264" spans="1:11" x14ac:dyDescent="0.25">
      <c r="A264">
        <v>262</v>
      </c>
      <c r="B264">
        <f>INT((A264-1)/12)+1</f>
      </c>
      <c r="C264" s="10">
        <f>H263</f>
      </c>
      <c r="D264" s="10">
        <f>IF(C264&lt;=0,0,MIN(-PMT(InterestRate/12,LoanYears*12,LoanAmount),C264+E264))</f>
      </c>
      <c r="E264" s="10">
        <f>IF(C264&gt;0,C264*InterestRate/12,0)</f>
      </c>
      <c r="F264" s="10">
        <f>D264-E264</f>
      </c>
      <c r="G264" s="10">
        <f>IF(AND(BonusFlag="あり",MOD(A264,6)=0,C264-F264&gt;0),MIN(BonusAmount,C264-F264),0)</f>
      </c>
      <c r="H264" s="10">
        <f>MAX(C264-F264-G264,0)</f>
      </c>
      <c r="I264" s="10">
        <f>I263+D264+G264</f>
      </c>
      <c r="J264" s="10">
        <f>J263+E264</f>
      </c>
      <c r="K264" s="10">
        <f>K263+F264+G264</f>
      </c>
    </row>
    <row r="265" spans="1:11" x14ac:dyDescent="0.25">
      <c r="A265">
        <v>263</v>
      </c>
      <c r="B265">
        <f>INT((A265-1)/12)+1</f>
      </c>
      <c r="C265" s="10">
        <f>H264</f>
      </c>
      <c r="D265" s="10">
        <f>IF(C265&lt;=0,0,MIN(-PMT(InterestRate/12,LoanYears*12,LoanAmount),C265+E265))</f>
      </c>
      <c r="E265" s="10">
        <f>IF(C265&gt;0,C265*InterestRate/12,0)</f>
      </c>
      <c r="F265" s="10">
        <f>D265-E265</f>
      </c>
      <c r="G265" s="10">
        <f>IF(AND(BonusFlag="あり",MOD(A265,6)=0,C265-F265&gt;0),MIN(BonusAmount,C265-F265),0)</f>
      </c>
      <c r="H265" s="10">
        <f>MAX(C265-F265-G265,0)</f>
      </c>
      <c r="I265" s="10">
        <f>I264+D265+G265</f>
      </c>
      <c r="J265" s="10">
        <f>J264+E265</f>
      </c>
      <c r="K265" s="10">
        <f>K264+F265+G265</f>
      </c>
    </row>
    <row r="266" spans="1:11" x14ac:dyDescent="0.25">
      <c r="A266">
        <v>264</v>
      </c>
      <c r="B266">
        <f>INT((A266-1)/12)+1</f>
      </c>
      <c r="C266" s="10">
        <f>H265</f>
      </c>
      <c r="D266" s="10">
        <f>IF(C266&lt;=0,0,MIN(-PMT(InterestRate/12,LoanYears*12,LoanAmount),C266+E266))</f>
      </c>
      <c r="E266" s="10">
        <f>IF(C266&gt;0,C266*InterestRate/12,0)</f>
      </c>
      <c r="F266" s="10">
        <f>D266-E266</f>
      </c>
      <c r="G266" s="10">
        <f>IF(AND(BonusFlag="あり",MOD(A266,6)=0,C266-F266&gt;0),MIN(BonusAmount,C266-F266),0)</f>
      </c>
      <c r="H266" s="10">
        <f>MAX(C266-F266-G266,0)</f>
      </c>
      <c r="I266" s="10">
        <f>I265+D266+G266</f>
      </c>
      <c r="J266" s="10">
        <f>J265+E266</f>
      </c>
      <c r="K266" s="10">
        <f>K265+F266+G266</f>
      </c>
    </row>
    <row r="267" spans="1:11" x14ac:dyDescent="0.25">
      <c r="A267">
        <v>265</v>
      </c>
      <c r="B267">
        <f>INT((A267-1)/12)+1</f>
      </c>
      <c r="C267" s="10">
        <f>H266</f>
      </c>
      <c r="D267" s="10">
        <f>IF(C267&lt;=0,0,MIN(-PMT(InterestRate/12,LoanYears*12,LoanAmount),C267+E267))</f>
      </c>
      <c r="E267" s="10">
        <f>IF(C267&gt;0,C267*InterestRate/12,0)</f>
      </c>
      <c r="F267" s="10">
        <f>D267-E267</f>
      </c>
      <c r="G267" s="10">
        <f>IF(AND(BonusFlag="あり",MOD(A267,6)=0,C267-F267&gt;0),MIN(BonusAmount,C267-F267),0)</f>
      </c>
      <c r="H267" s="10">
        <f>MAX(C267-F267-G267,0)</f>
      </c>
      <c r="I267" s="10">
        <f>I266+D267+G267</f>
      </c>
      <c r="J267" s="10">
        <f>J266+E267</f>
      </c>
      <c r="K267" s="10">
        <f>K266+F267+G267</f>
      </c>
    </row>
    <row r="268" spans="1:11" x14ac:dyDescent="0.25">
      <c r="A268">
        <v>266</v>
      </c>
      <c r="B268">
        <f>INT((A268-1)/12)+1</f>
      </c>
      <c r="C268" s="10">
        <f>H267</f>
      </c>
      <c r="D268" s="10">
        <f>IF(C268&lt;=0,0,MIN(-PMT(InterestRate/12,LoanYears*12,LoanAmount),C268+E268))</f>
      </c>
      <c r="E268" s="10">
        <f>IF(C268&gt;0,C268*InterestRate/12,0)</f>
      </c>
      <c r="F268" s="10">
        <f>D268-E268</f>
      </c>
      <c r="G268" s="10">
        <f>IF(AND(BonusFlag="あり",MOD(A268,6)=0,C268-F268&gt;0),MIN(BonusAmount,C268-F268),0)</f>
      </c>
      <c r="H268" s="10">
        <f>MAX(C268-F268-G268,0)</f>
      </c>
      <c r="I268" s="10">
        <f>I267+D268+G268</f>
      </c>
      <c r="J268" s="10">
        <f>J267+E268</f>
      </c>
      <c r="K268" s="10">
        <f>K267+F268+G268</f>
      </c>
    </row>
    <row r="269" spans="1:11" x14ac:dyDescent="0.25">
      <c r="A269">
        <v>267</v>
      </c>
      <c r="B269">
        <f>INT((A269-1)/12)+1</f>
      </c>
      <c r="C269" s="10">
        <f>H268</f>
      </c>
      <c r="D269" s="10">
        <f>IF(C269&lt;=0,0,MIN(-PMT(InterestRate/12,LoanYears*12,LoanAmount),C269+E269))</f>
      </c>
      <c r="E269" s="10">
        <f>IF(C269&gt;0,C269*InterestRate/12,0)</f>
      </c>
      <c r="F269" s="10">
        <f>D269-E269</f>
      </c>
      <c r="G269" s="10">
        <f>IF(AND(BonusFlag="あり",MOD(A269,6)=0,C269-F269&gt;0),MIN(BonusAmount,C269-F269),0)</f>
      </c>
      <c r="H269" s="10">
        <f>MAX(C269-F269-G269,0)</f>
      </c>
      <c r="I269" s="10">
        <f>I268+D269+G269</f>
      </c>
      <c r="J269" s="10">
        <f>J268+E269</f>
      </c>
      <c r="K269" s="10">
        <f>K268+F269+G269</f>
      </c>
    </row>
    <row r="270" spans="1:11" x14ac:dyDescent="0.25">
      <c r="A270">
        <v>268</v>
      </c>
      <c r="B270">
        <f>INT((A270-1)/12)+1</f>
      </c>
      <c r="C270" s="10">
        <f>H269</f>
      </c>
      <c r="D270" s="10">
        <f>IF(C270&lt;=0,0,MIN(-PMT(InterestRate/12,LoanYears*12,LoanAmount),C270+E270))</f>
      </c>
      <c r="E270" s="10">
        <f>IF(C270&gt;0,C270*InterestRate/12,0)</f>
      </c>
      <c r="F270" s="10">
        <f>D270-E270</f>
      </c>
      <c r="G270" s="10">
        <f>IF(AND(BonusFlag="あり",MOD(A270,6)=0,C270-F270&gt;0),MIN(BonusAmount,C270-F270),0)</f>
      </c>
      <c r="H270" s="10">
        <f>MAX(C270-F270-G270,0)</f>
      </c>
      <c r="I270" s="10">
        <f>I269+D270+G270</f>
      </c>
      <c r="J270" s="10">
        <f>J269+E270</f>
      </c>
      <c r="K270" s="10">
        <f>K269+F270+G270</f>
      </c>
    </row>
    <row r="271" spans="1:11" x14ac:dyDescent="0.25">
      <c r="A271">
        <v>269</v>
      </c>
      <c r="B271">
        <f>INT((A271-1)/12)+1</f>
      </c>
      <c r="C271" s="10">
        <f>H270</f>
      </c>
      <c r="D271" s="10">
        <f>IF(C271&lt;=0,0,MIN(-PMT(InterestRate/12,LoanYears*12,LoanAmount),C271+E271))</f>
      </c>
      <c r="E271" s="10">
        <f>IF(C271&gt;0,C271*InterestRate/12,0)</f>
      </c>
      <c r="F271" s="10">
        <f>D271-E271</f>
      </c>
      <c r="G271" s="10">
        <f>IF(AND(BonusFlag="あり",MOD(A271,6)=0,C271-F271&gt;0),MIN(BonusAmount,C271-F271),0)</f>
      </c>
      <c r="H271" s="10">
        <f>MAX(C271-F271-G271,0)</f>
      </c>
      <c r="I271" s="10">
        <f>I270+D271+G271</f>
      </c>
      <c r="J271" s="10">
        <f>J270+E271</f>
      </c>
      <c r="K271" s="10">
        <f>K270+F271+G271</f>
      </c>
    </row>
    <row r="272" spans="1:11" x14ac:dyDescent="0.25">
      <c r="A272">
        <v>270</v>
      </c>
      <c r="B272">
        <f>INT((A272-1)/12)+1</f>
      </c>
      <c r="C272" s="10">
        <f>H271</f>
      </c>
      <c r="D272" s="10">
        <f>IF(C272&lt;=0,0,MIN(-PMT(InterestRate/12,LoanYears*12,LoanAmount),C272+E272))</f>
      </c>
      <c r="E272" s="10">
        <f>IF(C272&gt;0,C272*InterestRate/12,0)</f>
      </c>
      <c r="F272" s="10">
        <f>D272-E272</f>
      </c>
      <c r="G272" s="10">
        <f>IF(AND(BonusFlag="あり",MOD(A272,6)=0,C272-F272&gt;0),MIN(BonusAmount,C272-F272),0)</f>
      </c>
      <c r="H272" s="10">
        <f>MAX(C272-F272-G272,0)</f>
      </c>
      <c r="I272" s="10">
        <f>I271+D272+G272</f>
      </c>
      <c r="J272" s="10">
        <f>J271+E272</f>
      </c>
      <c r="K272" s="10">
        <f>K271+F272+G272</f>
      </c>
    </row>
    <row r="273" spans="1:11" x14ac:dyDescent="0.25">
      <c r="A273">
        <v>271</v>
      </c>
      <c r="B273">
        <f>INT((A273-1)/12)+1</f>
      </c>
      <c r="C273" s="10">
        <f>H272</f>
      </c>
      <c r="D273" s="10">
        <f>IF(C273&lt;=0,0,MIN(-PMT(InterestRate/12,LoanYears*12,LoanAmount),C273+E273))</f>
      </c>
      <c r="E273" s="10">
        <f>IF(C273&gt;0,C273*InterestRate/12,0)</f>
      </c>
      <c r="F273" s="10">
        <f>D273-E273</f>
      </c>
      <c r="G273" s="10">
        <f>IF(AND(BonusFlag="あり",MOD(A273,6)=0,C273-F273&gt;0),MIN(BonusAmount,C273-F273),0)</f>
      </c>
      <c r="H273" s="10">
        <f>MAX(C273-F273-G273,0)</f>
      </c>
      <c r="I273" s="10">
        <f>I272+D273+G273</f>
      </c>
      <c r="J273" s="10">
        <f>J272+E273</f>
      </c>
      <c r="K273" s="10">
        <f>K272+F273+G273</f>
      </c>
    </row>
    <row r="274" spans="1:11" x14ac:dyDescent="0.25">
      <c r="A274">
        <v>272</v>
      </c>
      <c r="B274">
        <f>INT((A274-1)/12)+1</f>
      </c>
      <c r="C274" s="10">
        <f>H273</f>
      </c>
      <c r="D274" s="10">
        <f>IF(C274&lt;=0,0,MIN(-PMT(InterestRate/12,LoanYears*12,LoanAmount),C274+E274))</f>
      </c>
      <c r="E274" s="10">
        <f>IF(C274&gt;0,C274*InterestRate/12,0)</f>
      </c>
      <c r="F274" s="10">
        <f>D274-E274</f>
      </c>
      <c r="G274" s="10">
        <f>IF(AND(BonusFlag="あり",MOD(A274,6)=0,C274-F274&gt;0),MIN(BonusAmount,C274-F274),0)</f>
      </c>
      <c r="H274" s="10">
        <f>MAX(C274-F274-G274,0)</f>
      </c>
      <c r="I274" s="10">
        <f>I273+D274+G274</f>
      </c>
      <c r="J274" s="10">
        <f>J273+E274</f>
      </c>
      <c r="K274" s="10">
        <f>K273+F274+G274</f>
      </c>
    </row>
    <row r="275" spans="1:11" x14ac:dyDescent="0.25">
      <c r="A275">
        <v>273</v>
      </c>
      <c r="B275">
        <f>INT((A275-1)/12)+1</f>
      </c>
      <c r="C275" s="10">
        <f>H274</f>
      </c>
      <c r="D275" s="10">
        <f>IF(C275&lt;=0,0,MIN(-PMT(InterestRate/12,LoanYears*12,LoanAmount),C275+E275))</f>
      </c>
      <c r="E275" s="10">
        <f>IF(C275&gt;0,C275*InterestRate/12,0)</f>
      </c>
      <c r="F275" s="10">
        <f>D275-E275</f>
      </c>
      <c r="G275" s="10">
        <f>IF(AND(BonusFlag="あり",MOD(A275,6)=0,C275-F275&gt;0),MIN(BonusAmount,C275-F275),0)</f>
      </c>
      <c r="H275" s="10">
        <f>MAX(C275-F275-G275,0)</f>
      </c>
      <c r="I275" s="10">
        <f>I274+D275+G275</f>
      </c>
      <c r="J275" s="10">
        <f>J274+E275</f>
      </c>
      <c r="K275" s="10">
        <f>K274+F275+G275</f>
      </c>
    </row>
    <row r="276" spans="1:11" x14ac:dyDescent="0.25">
      <c r="A276">
        <v>274</v>
      </c>
      <c r="B276">
        <f>INT((A276-1)/12)+1</f>
      </c>
      <c r="C276" s="10">
        <f>H275</f>
      </c>
      <c r="D276" s="10">
        <f>IF(C276&lt;=0,0,MIN(-PMT(InterestRate/12,LoanYears*12,LoanAmount),C276+E276))</f>
      </c>
      <c r="E276" s="10">
        <f>IF(C276&gt;0,C276*InterestRate/12,0)</f>
      </c>
      <c r="F276" s="10">
        <f>D276-E276</f>
      </c>
      <c r="G276" s="10">
        <f>IF(AND(BonusFlag="あり",MOD(A276,6)=0,C276-F276&gt;0),MIN(BonusAmount,C276-F276),0)</f>
      </c>
      <c r="H276" s="10">
        <f>MAX(C276-F276-G276,0)</f>
      </c>
      <c r="I276" s="10">
        <f>I275+D276+G276</f>
      </c>
      <c r="J276" s="10">
        <f>J275+E276</f>
      </c>
      <c r="K276" s="10">
        <f>K275+F276+G276</f>
      </c>
    </row>
    <row r="277" spans="1:11" x14ac:dyDescent="0.25">
      <c r="A277">
        <v>275</v>
      </c>
      <c r="B277">
        <f>INT((A277-1)/12)+1</f>
      </c>
      <c r="C277" s="10">
        <f>H276</f>
      </c>
      <c r="D277" s="10">
        <f>IF(C277&lt;=0,0,MIN(-PMT(InterestRate/12,LoanYears*12,LoanAmount),C277+E277))</f>
      </c>
      <c r="E277" s="10">
        <f>IF(C277&gt;0,C277*InterestRate/12,0)</f>
      </c>
      <c r="F277" s="10">
        <f>D277-E277</f>
      </c>
      <c r="G277" s="10">
        <f>IF(AND(BonusFlag="あり",MOD(A277,6)=0,C277-F277&gt;0),MIN(BonusAmount,C277-F277),0)</f>
      </c>
      <c r="H277" s="10">
        <f>MAX(C277-F277-G277,0)</f>
      </c>
      <c r="I277" s="10">
        <f>I276+D277+G277</f>
      </c>
      <c r="J277" s="10">
        <f>J276+E277</f>
      </c>
      <c r="K277" s="10">
        <f>K276+F277+G277</f>
      </c>
    </row>
    <row r="278" spans="1:11" x14ac:dyDescent="0.25">
      <c r="A278">
        <v>276</v>
      </c>
      <c r="B278">
        <f>INT((A278-1)/12)+1</f>
      </c>
      <c r="C278" s="10">
        <f>H277</f>
      </c>
      <c r="D278" s="10">
        <f>IF(C278&lt;=0,0,MIN(-PMT(InterestRate/12,LoanYears*12,LoanAmount),C278+E278))</f>
      </c>
      <c r="E278" s="10">
        <f>IF(C278&gt;0,C278*InterestRate/12,0)</f>
      </c>
      <c r="F278" s="10">
        <f>D278-E278</f>
      </c>
      <c r="G278" s="10">
        <f>IF(AND(BonusFlag="あり",MOD(A278,6)=0,C278-F278&gt;0),MIN(BonusAmount,C278-F278),0)</f>
      </c>
      <c r="H278" s="10">
        <f>MAX(C278-F278-G278,0)</f>
      </c>
      <c r="I278" s="10">
        <f>I277+D278+G278</f>
      </c>
      <c r="J278" s="10">
        <f>J277+E278</f>
      </c>
      <c r="K278" s="10">
        <f>K277+F278+G278</f>
      </c>
    </row>
    <row r="279" spans="1:11" x14ac:dyDescent="0.25">
      <c r="A279">
        <v>277</v>
      </c>
      <c r="B279">
        <f>INT((A279-1)/12)+1</f>
      </c>
      <c r="C279" s="10">
        <f>H278</f>
      </c>
      <c r="D279" s="10">
        <f>IF(C279&lt;=0,0,MIN(-PMT(InterestRate/12,LoanYears*12,LoanAmount),C279+E279))</f>
      </c>
      <c r="E279" s="10">
        <f>IF(C279&gt;0,C279*InterestRate/12,0)</f>
      </c>
      <c r="F279" s="10">
        <f>D279-E279</f>
      </c>
      <c r="G279" s="10">
        <f>IF(AND(BonusFlag="あり",MOD(A279,6)=0,C279-F279&gt;0),MIN(BonusAmount,C279-F279),0)</f>
      </c>
      <c r="H279" s="10">
        <f>MAX(C279-F279-G279,0)</f>
      </c>
      <c r="I279" s="10">
        <f>I278+D279+G279</f>
      </c>
      <c r="J279" s="10">
        <f>J278+E279</f>
      </c>
      <c r="K279" s="10">
        <f>K278+F279+G279</f>
      </c>
    </row>
    <row r="280" spans="1:11" x14ac:dyDescent="0.25">
      <c r="A280">
        <v>278</v>
      </c>
      <c r="B280">
        <f>INT((A280-1)/12)+1</f>
      </c>
      <c r="C280" s="10">
        <f>H279</f>
      </c>
      <c r="D280" s="10">
        <f>IF(C280&lt;=0,0,MIN(-PMT(InterestRate/12,LoanYears*12,LoanAmount),C280+E280))</f>
      </c>
      <c r="E280" s="10">
        <f>IF(C280&gt;0,C280*InterestRate/12,0)</f>
      </c>
      <c r="F280" s="10">
        <f>D280-E280</f>
      </c>
      <c r="G280" s="10">
        <f>IF(AND(BonusFlag="あり",MOD(A280,6)=0,C280-F280&gt;0),MIN(BonusAmount,C280-F280),0)</f>
      </c>
      <c r="H280" s="10">
        <f>MAX(C280-F280-G280,0)</f>
      </c>
      <c r="I280" s="10">
        <f>I279+D280+G280</f>
      </c>
      <c r="J280" s="10">
        <f>J279+E280</f>
      </c>
      <c r="K280" s="10">
        <f>K279+F280+G280</f>
      </c>
    </row>
    <row r="281" spans="1:11" x14ac:dyDescent="0.25">
      <c r="A281">
        <v>279</v>
      </c>
      <c r="B281">
        <f>INT((A281-1)/12)+1</f>
      </c>
      <c r="C281" s="10">
        <f>H280</f>
      </c>
      <c r="D281" s="10">
        <f>IF(C281&lt;=0,0,MIN(-PMT(InterestRate/12,LoanYears*12,LoanAmount),C281+E281))</f>
      </c>
      <c r="E281" s="10">
        <f>IF(C281&gt;0,C281*InterestRate/12,0)</f>
      </c>
      <c r="F281" s="10">
        <f>D281-E281</f>
      </c>
      <c r="G281" s="10">
        <f>IF(AND(BonusFlag="あり",MOD(A281,6)=0,C281-F281&gt;0),MIN(BonusAmount,C281-F281),0)</f>
      </c>
      <c r="H281" s="10">
        <f>MAX(C281-F281-G281,0)</f>
      </c>
      <c r="I281" s="10">
        <f>I280+D281+G281</f>
      </c>
      <c r="J281" s="10">
        <f>J280+E281</f>
      </c>
      <c r="K281" s="10">
        <f>K280+F281+G281</f>
      </c>
    </row>
    <row r="282" spans="1:11" x14ac:dyDescent="0.25">
      <c r="A282">
        <v>280</v>
      </c>
      <c r="B282">
        <f>INT((A282-1)/12)+1</f>
      </c>
      <c r="C282" s="10">
        <f>H281</f>
      </c>
      <c r="D282" s="10">
        <f>IF(C282&lt;=0,0,MIN(-PMT(InterestRate/12,LoanYears*12,LoanAmount),C282+E282))</f>
      </c>
      <c r="E282" s="10">
        <f>IF(C282&gt;0,C282*InterestRate/12,0)</f>
      </c>
      <c r="F282" s="10">
        <f>D282-E282</f>
      </c>
      <c r="G282" s="10">
        <f>IF(AND(BonusFlag="あり",MOD(A282,6)=0,C282-F282&gt;0),MIN(BonusAmount,C282-F282),0)</f>
      </c>
      <c r="H282" s="10">
        <f>MAX(C282-F282-G282,0)</f>
      </c>
      <c r="I282" s="10">
        <f>I281+D282+G282</f>
      </c>
      <c r="J282" s="10">
        <f>J281+E282</f>
      </c>
      <c r="K282" s="10">
        <f>K281+F282+G282</f>
      </c>
    </row>
    <row r="283" spans="1:11" x14ac:dyDescent="0.25">
      <c r="A283">
        <v>281</v>
      </c>
      <c r="B283">
        <f>INT((A283-1)/12)+1</f>
      </c>
      <c r="C283" s="10">
        <f>H282</f>
      </c>
      <c r="D283" s="10">
        <f>IF(C283&lt;=0,0,MIN(-PMT(InterestRate/12,LoanYears*12,LoanAmount),C283+E283))</f>
      </c>
      <c r="E283" s="10">
        <f>IF(C283&gt;0,C283*InterestRate/12,0)</f>
      </c>
      <c r="F283" s="10">
        <f>D283-E283</f>
      </c>
      <c r="G283" s="10">
        <f>IF(AND(BonusFlag="あり",MOD(A283,6)=0,C283-F283&gt;0),MIN(BonusAmount,C283-F283),0)</f>
      </c>
      <c r="H283" s="10">
        <f>MAX(C283-F283-G283,0)</f>
      </c>
      <c r="I283" s="10">
        <f>I282+D283+G283</f>
      </c>
      <c r="J283" s="10">
        <f>J282+E283</f>
      </c>
      <c r="K283" s="10">
        <f>K282+F283+G283</f>
      </c>
    </row>
    <row r="284" spans="1:11" x14ac:dyDescent="0.25">
      <c r="A284">
        <v>282</v>
      </c>
      <c r="B284">
        <f>INT((A284-1)/12)+1</f>
      </c>
      <c r="C284" s="10">
        <f>H283</f>
      </c>
      <c r="D284" s="10">
        <f>IF(C284&lt;=0,0,MIN(-PMT(InterestRate/12,LoanYears*12,LoanAmount),C284+E284))</f>
      </c>
      <c r="E284" s="10">
        <f>IF(C284&gt;0,C284*InterestRate/12,0)</f>
      </c>
      <c r="F284" s="10">
        <f>D284-E284</f>
      </c>
      <c r="G284" s="10">
        <f>IF(AND(BonusFlag="あり",MOD(A284,6)=0,C284-F284&gt;0),MIN(BonusAmount,C284-F284),0)</f>
      </c>
      <c r="H284" s="10">
        <f>MAX(C284-F284-G284,0)</f>
      </c>
      <c r="I284" s="10">
        <f>I283+D284+G284</f>
      </c>
      <c r="J284" s="10">
        <f>J283+E284</f>
      </c>
      <c r="K284" s="10">
        <f>K283+F284+G284</f>
      </c>
    </row>
    <row r="285" spans="1:11" x14ac:dyDescent="0.25">
      <c r="A285">
        <v>283</v>
      </c>
      <c r="B285">
        <f>INT((A285-1)/12)+1</f>
      </c>
      <c r="C285" s="10">
        <f>H284</f>
      </c>
      <c r="D285" s="10">
        <f>IF(C285&lt;=0,0,MIN(-PMT(InterestRate/12,LoanYears*12,LoanAmount),C285+E285))</f>
      </c>
      <c r="E285" s="10">
        <f>IF(C285&gt;0,C285*InterestRate/12,0)</f>
      </c>
      <c r="F285" s="10">
        <f>D285-E285</f>
      </c>
      <c r="G285" s="10">
        <f>IF(AND(BonusFlag="あり",MOD(A285,6)=0,C285-F285&gt;0),MIN(BonusAmount,C285-F285),0)</f>
      </c>
      <c r="H285" s="10">
        <f>MAX(C285-F285-G285,0)</f>
      </c>
      <c r="I285" s="10">
        <f>I284+D285+G285</f>
      </c>
      <c r="J285" s="10">
        <f>J284+E285</f>
      </c>
      <c r="K285" s="10">
        <f>K284+F285+G285</f>
      </c>
    </row>
    <row r="286" spans="1:11" x14ac:dyDescent="0.25">
      <c r="A286">
        <v>284</v>
      </c>
      <c r="B286">
        <f>INT((A286-1)/12)+1</f>
      </c>
      <c r="C286" s="10">
        <f>H285</f>
      </c>
      <c r="D286" s="10">
        <f>IF(C286&lt;=0,0,MIN(-PMT(InterestRate/12,LoanYears*12,LoanAmount),C286+E286))</f>
      </c>
      <c r="E286" s="10">
        <f>IF(C286&gt;0,C286*InterestRate/12,0)</f>
      </c>
      <c r="F286" s="10">
        <f>D286-E286</f>
      </c>
      <c r="G286" s="10">
        <f>IF(AND(BonusFlag="あり",MOD(A286,6)=0,C286-F286&gt;0),MIN(BonusAmount,C286-F286),0)</f>
      </c>
      <c r="H286" s="10">
        <f>MAX(C286-F286-G286,0)</f>
      </c>
      <c r="I286" s="10">
        <f>I285+D286+G286</f>
      </c>
      <c r="J286" s="10">
        <f>J285+E286</f>
      </c>
      <c r="K286" s="10">
        <f>K285+F286+G286</f>
      </c>
    </row>
    <row r="287" spans="1:11" x14ac:dyDescent="0.25">
      <c r="A287">
        <v>285</v>
      </c>
      <c r="B287">
        <f>INT((A287-1)/12)+1</f>
      </c>
      <c r="C287" s="10">
        <f>H286</f>
      </c>
      <c r="D287" s="10">
        <f>IF(C287&lt;=0,0,MIN(-PMT(InterestRate/12,LoanYears*12,LoanAmount),C287+E287))</f>
      </c>
      <c r="E287" s="10">
        <f>IF(C287&gt;0,C287*InterestRate/12,0)</f>
      </c>
      <c r="F287" s="10">
        <f>D287-E287</f>
      </c>
      <c r="G287" s="10">
        <f>IF(AND(BonusFlag="あり",MOD(A287,6)=0,C287-F287&gt;0),MIN(BonusAmount,C287-F287),0)</f>
      </c>
      <c r="H287" s="10">
        <f>MAX(C287-F287-G287,0)</f>
      </c>
      <c r="I287" s="10">
        <f>I286+D287+G287</f>
      </c>
      <c r="J287" s="10">
        <f>J286+E287</f>
      </c>
      <c r="K287" s="10">
        <f>K286+F287+G287</f>
      </c>
    </row>
    <row r="288" spans="1:11" x14ac:dyDescent="0.25">
      <c r="A288">
        <v>286</v>
      </c>
      <c r="B288">
        <f>INT((A288-1)/12)+1</f>
      </c>
      <c r="C288" s="10">
        <f>H287</f>
      </c>
      <c r="D288" s="10">
        <f>IF(C288&lt;=0,0,MIN(-PMT(InterestRate/12,LoanYears*12,LoanAmount),C288+E288))</f>
      </c>
      <c r="E288" s="10">
        <f>IF(C288&gt;0,C288*InterestRate/12,0)</f>
      </c>
      <c r="F288" s="10">
        <f>D288-E288</f>
      </c>
      <c r="G288" s="10">
        <f>IF(AND(BonusFlag="あり",MOD(A288,6)=0,C288-F288&gt;0),MIN(BonusAmount,C288-F288),0)</f>
      </c>
      <c r="H288" s="10">
        <f>MAX(C288-F288-G288,0)</f>
      </c>
      <c r="I288" s="10">
        <f>I287+D288+G288</f>
      </c>
      <c r="J288" s="10">
        <f>J287+E288</f>
      </c>
      <c r="K288" s="10">
        <f>K287+F288+G288</f>
      </c>
    </row>
    <row r="289" spans="1:11" x14ac:dyDescent="0.25">
      <c r="A289">
        <v>287</v>
      </c>
      <c r="B289">
        <f>INT((A289-1)/12)+1</f>
      </c>
      <c r="C289" s="10">
        <f>H288</f>
      </c>
      <c r="D289" s="10">
        <f>IF(C289&lt;=0,0,MIN(-PMT(InterestRate/12,LoanYears*12,LoanAmount),C289+E289))</f>
      </c>
      <c r="E289" s="10">
        <f>IF(C289&gt;0,C289*InterestRate/12,0)</f>
      </c>
      <c r="F289" s="10">
        <f>D289-E289</f>
      </c>
      <c r="G289" s="10">
        <f>IF(AND(BonusFlag="あり",MOD(A289,6)=0,C289-F289&gt;0),MIN(BonusAmount,C289-F289),0)</f>
      </c>
      <c r="H289" s="10">
        <f>MAX(C289-F289-G289,0)</f>
      </c>
      <c r="I289" s="10">
        <f>I288+D289+G289</f>
      </c>
      <c r="J289" s="10">
        <f>J288+E289</f>
      </c>
      <c r="K289" s="10">
        <f>K288+F289+G289</f>
      </c>
    </row>
    <row r="290" spans="1:11" x14ac:dyDescent="0.25">
      <c r="A290">
        <v>288</v>
      </c>
      <c r="B290">
        <f>INT((A290-1)/12)+1</f>
      </c>
      <c r="C290" s="10">
        <f>H289</f>
      </c>
      <c r="D290" s="10">
        <f>IF(C290&lt;=0,0,MIN(-PMT(InterestRate/12,LoanYears*12,LoanAmount),C290+E290))</f>
      </c>
      <c r="E290" s="10">
        <f>IF(C290&gt;0,C290*InterestRate/12,0)</f>
      </c>
      <c r="F290" s="10">
        <f>D290-E290</f>
      </c>
      <c r="G290" s="10">
        <f>IF(AND(BonusFlag="あり",MOD(A290,6)=0,C290-F290&gt;0),MIN(BonusAmount,C290-F290),0)</f>
      </c>
      <c r="H290" s="10">
        <f>MAX(C290-F290-G290,0)</f>
      </c>
      <c r="I290" s="10">
        <f>I289+D290+G290</f>
      </c>
      <c r="J290" s="10">
        <f>J289+E290</f>
      </c>
      <c r="K290" s="10">
        <f>K289+F290+G290</f>
      </c>
    </row>
    <row r="291" spans="1:11" x14ac:dyDescent="0.25">
      <c r="A291">
        <v>289</v>
      </c>
      <c r="B291">
        <f>INT((A291-1)/12)+1</f>
      </c>
      <c r="C291" s="10">
        <f>H290</f>
      </c>
      <c r="D291" s="10">
        <f>IF(C291&lt;=0,0,MIN(-PMT(InterestRate/12,LoanYears*12,LoanAmount),C291+E291))</f>
      </c>
      <c r="E291" s="10">
        <f>IF(C291&gt;0,C291*InterestRate/12,0)</f>
      </c>
      <c r="F291" s="10">
        <f>D291-E291</f>
      </c>
      <c r="G291" s="10">
        <f>IF(AND(BonusFlag="あり",MOD(A291,6)=0,C291-F291&gt;0),MIN(BonusAmount,C291-F291),0)</f>
      </c>
      <c r="H291" s="10">
        <f>MAX(C291-F291-G291,0)</f>
      </c>
      <c r="I291" s="10">
        <f>I290+D291+G291</f>
      </c>
      <c r="J291" s="10">
        <f>J290+E291</f>
      </c>
      <c r="K291" s="10">
        <f>K290+F291+G291</f>
      </c>
    </row>
    <row r="292" spans="1:11" x14ac:dyDescent="0.25">
      <c r="A292">
        <v>290</v>
      </c>
      <c r="B292">
        <f>INT((A292-1)/12)+1</f>
      </c>
      <c r="C292" s="10">
        <f>H291</f>
      </c>
      <c r="D292" s="10">
        <f>IF(C292&lt;=0,0,MIN(-PMT(InterestRate/12,LoanYears*12,LoanAmount),C292+E292))</f>
      </c>
      <c r="E292" s="10">
        <f>IF(C292&gt;0,C292*InterestRate/12,0)</f>
      </c>
      <c r="F292" s="10">
        <f>D292-E292</f>
      </c>
      <c r="G292" s="10">
        <f>IF(AND(BonusFlag="あり",MOD(A292,6)=0,C292-F292&gt;0),MIN(BonusAmount,C292-F292),0)</f>
      </c>
      <c r="H292" s="10">
        <f>MAX(C292-F292-G292,0)</f>
      </c>
      <c r="I292" s="10">
        <f>I291+D292+G292</f>
      </c>
      <c r="J292" s="10">
        <f>J291+E292</f>
      </c>
      <c r="K292" s="10">
        <f>K291+F292+G292</f>
      </c>
    </row>
    <row r="293" spans="1:11" x14ac:dyDescent="0.25">
      <c r="A293">
        <v>291</v>
      </c>
      <c r="B293">
        <f>INT((A293-1)/12)+1</f>
      </c>
      <c r="C293" s="10">
        <f>H292</f>
      </c>
      <c r="D293" s="10">
        <f>IF(C293&lt;=0,0,MIN(-PMT(InterestRate/12,LoanYears*12,LoanAmount),C293+E293))</f>
      </c>
      <c r="E293" s="10">
        <f>IF(C293&gt;0,C293*InterestRate/12,0)</f>
      </c>
      <c r="F293" s="10">
        <f>D293-E293</f>
      </c>
      <c r="G293" s="10">
        <f>IF(AND(BonusFlag="あり",MOD(A293,6)=0,C293-F293&gt;0),MIN(BonusAmount,C293-F293),0)</f>
      </c>
      <c r="H293" s="10">
        <f>MAX(C293-F293-G293,0)</f>
      </c>
      <c r="I293" s="10">
        <f>I292+D293+G293</f>
      </c>
      <c r="J293" s="10">
        <f>J292+E293</f>
      </c>
      <c r="K293" s="10">
        <f>K292+F293+G293</f>
      </c>
    </row>
    <row r="294" spans="1:11" x14ac:dyDescent="0.25">
      <c r="A294">
        <v>292</v>
      </c>
      <c r="B294">
        <f>INT((A294-1)/12)+1</f>
      </c>
      <c r="C294" s="10">
        <f>H293</f>
      </c>
      <c r="D294" s="10">
        <f>IF(C294&lt;=0,0,MIN(-PMT(InterestRate/12,LoanYears*12,LoanAmount),C294+E294))</f>
      </c>
      <c r="E294" s="10">
        <f>IF(C294&gt;0,C294*InterestRate/12,0)</f>
      </c>
      <c r="F294" s="10">
        <f>D294-E294</f>
      </c>
      <c r="G294" s="10">
        <f>IF(AND(BonusFlag="あり",MOD(A294,6)=0,C294-F294&gt;0),MIN(BonusAmount,C294-F294),0)</f>
      </c>
      <c r="H294" s="10">
        <f>MAX(C294-F294-G294,0)</f>
      </c>
      <c r="I294" s="10">
        <f>I293+D294+G294</f>
      </c>
      <c r="J294" s="10">
        <f>J293+E294</f>
      </c>
      <c r="K294" s="10">
        <f>K293+F294+G294</f>
      </c>
    </row>
    <row r="295" spans="1:11" x14ac:dyDescent="0.25">
      <c r="A295">
        <v>293</v>
      </c>
      <c r="B295">
        <f>INT((A295-1)/12)+1</f>
      </c>
      <c r="C295" s="10">
        <f>H294</f>
      </c>
      <c r="D295" s="10">
        <f>IF(C295&lt;=0,0,MIN(-PMT(InterestRate/12,LoanYears*12,LoanAmount),C295+E295))</f>
      </c>
      <c r="E295" s="10">
        <f>IF(C295&gt;0,C295*InterestRate/12,0)</f>
      </c>
      <c r="F295" s="10">
        <f>D295-E295</f>
      </c>
      <c r="G295" s="10">
        <f>IF(AND(BonusFlag="あり",MOD(A295,6)=0,C295-F295&gt;0),MIN(BonusAmount,C295-F295),0)</f>
      </c>
      <c r="H295" s="10">
        <f>MAX(C295-F295-G295,0)</f>
      </c>
      <c r="I295" s="10">
        <f>I294+D295+G295</f>
      </c>
      <c r="J295" s="10">
        <f>J294+E295</f>
      </c>
      <c r="K295" s="10">
        <f>K294+F295+G295</f>
      </c>
    </row>
    <row r="296" spans="1:11" x14ac:dyDescent="0.25">
      <c r="A296">
        <v>294</v>
      </c>
      <c r="B296">
        <f>INT((A296-1)/12)+1</f>
      </c>
      <c r="C296" s="10">
        <f>H295</f>
      </c>
      <c r="D296" s="10">
        <f>IF(C296&lt;=0,0,MIN(-PMT(InterestRate/12,LoanYears*12,LoanAmount),C296+E296))</f>
      </c>
      <c r="E296" s="10">
        <f>IF(C296&gt;0,C296*InterestRate/12,0)</f>
      </c>
      <c r="F296" s="10">
        <f>D296-E296</f>
      </c>
      <c r="G296" s="10">
        <f>IF(AND(BonusFlag="あり",MOD(A296,6)=0,C296-F296&gt;0),MIN(BonusAmount,C296-F296),0)</f>
      </c>
      <c r="H296" s="10">
        <f>MAX(C296-F296-G296,0)</f>
      </c>
      <c r="I296" s="10">
        <f>I295+D296+G296</f>
      </c>
      <c r="J296" s="10">
        <f>J295+E296</f>
      </c>
      <c r="K296" s="10">
        <f>K295+F296+G296</f>
      </c>
    </row>
    <row r="297" spans="1:11" x14ac:dyDescent="0.25">
      <c r="A297">
        <v>295</v>
      </c>
      <c r="B297">
        <f>INT((A297-1)/12)+1</f>
      </c>
      <c r="C297" s="10">
        <f>H296</f>
      </c>
      <c r="D297" s="10">
        <f>IF(C297&lt;=0,0,MIN(-PMT(InterestRate/12,LoanYears*12,LoanAmount),C297+E297))</f>
      </c>
      <c r="E297" s="10">
        <f>IF(C297&gt;0,C297*InterestRate/12,0)</f>
      </c>
      <c r="F297" s="10">
        <f>D297-E297</f>
      </c>
      <c r="G297" s="10">
        <f>IF(AND(BonusFlag="あり",MOD(A297,6)=0,C297-F297&gt;0),MIN(BonusAmount,C297-F297),0)</f>
      </c>
      <c r="H297" s="10">
        <f>MAX(C297-F297-G297,0)</f>
      </c>
      <c r="I297" s="10">
        <f>I296+D297+G297</f>
      </c>
      <c r="J297" s="10">
        <f>J296+E297</f>
      </c>
      <c r="K297" s="10">
        <f>K296+F297+G297</f>
      </c>
    </row>
    <row r="298" spans="1:11" x14ac:dyDescent="0.25">
      <c r="A298">
        <v>296</v>
      </c>
      <c r="B298">
        <f>INT((A298-1)/12)+1</f>
      </c>
      <c r="C298" s="10">
        <f>H297</f>
      </c>
      <c r="D298" s="10">
        <f>IF(C298&lt;=0,0,MIN(-PMT(InterestRate/12,LoanYears*12,LoanAmount),C298+E298))</f>
      </c>
      <c r="E298" s="10">
        <f>IF(C298&gt;0,C298*InterestRate/12,0)</f>
      </c>
      <c r="F298" s="10">
        <f>D298-E298</f>
      </c>
      <c r="G298" s="10">
        <f>IF(AND(BonusFlag="あり",MOD(A298,6)=0,C298-F298&gt;0),MIN(BonusAmount,C298-F298),0)</f>
      </c>
      <c r="H298" s="10">
        <f>MAX(C298-F298-G298,0)</f>
      </c>
      <c r="I298" s="10">
        <f>I297+D298+G298</f>
      </c>
      <c r="J298" s="10">
        <f>J297+E298</f>
      </c>
      <c r="K298" s="10">
        <f>K297+F298+G298</f>
      </c>
    </row>
    <row r="299" spans="1:11" x14ac:dyDescent="0.25">
      <c r="A299">
        <v>297</v>
      </c>
      <c r="B299">
        <f>INT((A299-1)/12)+1</f>
      </c>
      <c r="C299" s="10">
        <f>H298</f>
      </c>
      <c r="D299" s="10">
        <f>IF(C299&lt;=0,0,MIN(-PMT(InterestRate/12,LoanYears*12,LoanAmount),C299+E299))</f>
      </c>
      <c r="E299" s="10">
        <f>IF(C299&gt;0,C299*InterestRate/12,0)</f>
      </c>
      <c r="F299" s="10">
        <f>D299-E299</f>
      </c>
      <c r="G299" s="10">
        <f>IF(AND(BonusFlag="あり",MOD(A299,6)=0,C299-F299&gt;0),MIN(BonusAmount,C299-F299),0)</f>
      </c>
      <c r="H299" s="10">
        <f>MAX(C299-F299-G299,0)</f>
      </c>
      <c r="I299" s="10">
        <f>I298+D299+G299</f>
      </c>
      <c r="J299" s="10">
        <f>J298+E299</f>
      </c>
      <c r="K299" s="10">
        <f>K298+F299+G299</f>
      </c>
    </row>
    <row r="300" spans="1:11" x14ac:dyDescent="0.25">
      <c r="A300">
        <v>298</v>
      </c>
      <c r="B300">
        <f>INT((A300-1)/12)+1</f>
      </c>
      <c r="C300" s="10">
        <f>H299</f>
      </c>
      <c r="D300" s="10">
        <f>IF(C300&lt;=0,0,MIN(-PMT(InterestRate/12,LoanYears*12,LoanAmount),C300+E300))</f>
      </c>
      <c r="E300" s="10">
        <f>IF(C300&gt;0,C300*InterestRate/12,0)</f>
      </c>
      <c r="F300" s="10">
        <f>D300-E300</f>
      </c>
      <c r="G300" s="10">
        <f>IF(AND(BonusFlag="あり",MOD(A300,6)=0,C300-F300&gt;0),MIN(BonusAmount,C300-F300),0)</f>
      </c>
      <c r="H300" s="10">
        <f>MAX(C300-F300-G300,0)</f>
      </c>
      <c r="I300" s="10">
        <f>I299+D300+G300</f>
      </c>
      <c r="J300" s="10">
        <f>J299+E300</f>
      </c>
      <c r="K300" s="10">
        <f>K299+F300+G300</f>
      </c>
    </row>
    <row r="301" spans="1:11" x14ac:dyDescent="0.25">
      <c r="A301">
        <v>299</v>
      </c>
      <c r="B301">
        <f>INT((A301-1)/12)+1</f>
      </c>
      <c r="C301" s="10">
        <f>H300</f>
      </c>
      <c r="D301" s="10">
        <f>IF(C301&lt;=0,0,MIN(-PMT(InterestRate/12,LoanYears*12,LoanAmount),C301+E301))</f>
      </c>
      <c r="E301" s="10">
        <f>IF(C301&gt;0,C301*InterestRate/12,0)</f>
      </c>
      <c r="F301" s="10">
        <f>D301-E301</f>
      </c>
      <c r="G301" s="10">
        <f>IF(AND(BonusFlag="あり",MOD(A301,6)=0,C301-F301&gt;0),MIN(BonusAmount,C301-F301),0)</f>
      </c>
      <c r="H301" s="10">
        <f>MAX(C301-F301-G301,0)</f>
      </c>
      <c r="I301" s="10">
        <f>I300+D301+G301</f>
      </c>
      <c r="J301" s="10">
        <f>J300+E301</f>
      </c>
      <c r="K301" s="10">
        <f>K300+F301+G301</f>
      </c>
    </row>
    <row r="302" spans="1:11" x14ac:dyDescent="0.25">
      <c r="A302">
        <v>300</v>
      </c>
      <c r="B302">
        <f>INT((A302-1)/12)+1</f>
      </c>
      <c r="C302" s="10">
        <f>H301</f>
      </c>
      <c r="D302" s="10">
        <f>IF(C302&lt;=0,0,MIN(-PMT(InterestRate/12,LoanYears*12,LoanAmount),C302+E302))</f>
      </c>
      <c r="E302" s="10">
        <f>IF(C302&gt;0,C302*InterestRate/12,0)</f>
      </c>
      <c r="F302" s="10">
        <f>D302-E302</f>
      </c>
      <c r="G302" s="10">
        <f>IF(AND(BonusFlag="あり",MOD(A302,6)=0,C302-F302&gt;0),MIN(BonusAmount,C302-F302),0)</f>
      </c>
      <c r="H302" s="10">
        <f>MAX(C302-F302-G302,0)</f>
      </c>
      <c r="I302" s="10">
        <f>I301+D302+G302</f>
      </c>
      <c r="J302" s="10">
        <f>J301+E302</f>
      </c>
      <c r="K302" s="10">
        <f>K301+F302+G302</f>
      </c>
    </row>
    <row r="303" spans="1:11" x14ac:dyDescent="0.25">
      <c r="A303">
        <v>301</v>
      </c>
      <c r="B303">
        <f>INT((A303-1)/12)+1</f>
      </c>
      <c r="C303" s="10">
        <f>H302</f>
      </c>
      <c r="D303" s="10">
        <f>IF(C303&lt;=0,0,MIN(-PMT(InterestRate/12,LoanYears*12,LoanAmount),C303+E303))</f>
      </c>
      <c r="E303" s="10">
        <f>IF(C303&gt;0,C303*InterestRate/12,0)</f>
      </c>
      <c r="F303" s="10">
        <f>D303-E303</f>
      </c>
      <c r="G303" s="10">
        <f>IF(AND(BonusFlag="あり",MOD(A303,6)=0,C303-F303&gt;0),MIN(BonusAmount,C303-F303),0)</f>
      </c>
      <c r="H303" s="10">
        <f>MAX(C303-F303-G303,0)</f>
      </c>
      <c r="I303" s="10">
        <f>I302+D303+G303</f>
      </c>
      <c r="J303" s="10">
        <f>J302+E303</f>
      </c>
      <c r="K303" s="10">
        <f>K302+F303+G303</f>
      </c>
    </row>
    <row r="304" spans="1:11" x14ac:dyDescent="0.25">
      <c r="A304">
        <v>302</v>
      </c>
      <c r="B304">
        <f>INT((A304-1)/12)+1</f>
      </c>
      <c r="C304" s="10">
        <f>H303</f>
      </c>
      <c r="D304" s="10">
        <f>IF(C304&lt;=0,0,MIN(-PMT(InterestRate/12,LoanYears*12,LoanAmount),C304+E304))</f>
      </c>
      <c r="E304" s="10">
        <f>IF(C304&gt;0,C304*InterestRate/12,0)</f>
      </c>
      <c r="F304" s="10">
        <f>D304-E304</f>
      </c>
      <c r="G304" s="10">
        <f>IF(AND(BonusFlag="あり",MOD(A304,6)=0,C304-F304&gt;0),MIN(BonusAmount,C304-F304),0)</f>
      </c>
      <c r="H304" s="10">
        <f>MAX(C304-F304-G304,0)</f>
      </c>
      <c r="I304" s="10">
        <f>I303+D304+G304</f>
      </c>
      <c r="J304" s="10">
        <f>J303+E304</f>
      </c>
      <c r="K304" s="10">
        <f>K303+F304+G304</f>
      </c>
    </row>
    <row r="305" spans="1:11" x14ac:dyDescent="0.25">
      <c r="A305">
        <v>303</v>
      </c>
      <c r="B305">
        <f>INT((A305-1)/12)+1</f>
      </c>
      <c r="C305" s="10">
        <f>H304</f>
      </c>
      <c r="D305" s="10">
        <f>IF(C305&lt;=0,0,MIN(-PMT(InterestRate/12,LoanYears*12,LoanAmount),C305+E305))</f>
      </c>
      <c r="E305" s="10">
        <f>IF(C305&gt;0,C305*InterestRate/12,0)</f>
      </c>
      <c r="F305" s="10">
        <f>D305-E305</f>
      </c>
      <c r="G305" s="10">
        <f>IF(AND(BonusFlag="あり",MOD(A305,6)=0,C305-F305&gt;0),MIN(BonusAmount,C305-F305),0)</f>
      </c>
      <c r="H305" s="10">
        <f>MAX(C305-F305-G305,0)</f>
      </c>
      <c r="I305" s="10">
        <f>I304+D305+G305</f>
      </c>
      <c r="J305" s="10">
        <f>J304+E305</f>
      </c>
      <c r="K305" s="10">
        <f>K304+F305+G305</f>
      </c>
    </row>
    <row r="306" spans="1:11" x14ac:dyDescent="0.25">
      <c r="A306">
        <v>304</v>
      </c>
      <c r="B306">
        <f>INT((A306-1)/12)+1</f>
      </c>
      <c r="C306" s="10">
        <f>H305</f>
      </c>
      <c r="D306" s="10">
        <f>IF(C306&lt;=0,0,MIN(-PMT(InterestRate/12,LoanYears*12,LoanAmount),C306+E306))</f>
      </c>
      <c r="E306" s="10">
        <f>IF(C306&gt;0,C306*InterestRate/12,0)</f>
      </c>
      <c r="F306" s="10">
        <f>D306-E306</f>
      </c>
      <c r="G306" s="10">
        <f>IF(AND(BonusFlag="あり",MOD(A306,6)=0,C306-F306&gt;0),MIN(BonusAmount,C306-F306),0)</f>
      </c>
      <c r="H306" s="10">
        <f>MAX(C306-F306-G306,0)</f>
      </c>
      <c r="I306" s="10">
        <f>I305+D306+G306</f>
      </c>
      <c r="J306" s="10">
        <f>J305+E306</f>
      </c>
      <c r="K306" s="10">
        <f>K305+F306+G306</f>
      </c>
    </row>
    <row r="307" spans="1:11" x14ac:dyDescent="0.25">
      <c r="A307">
        <v>305</v>
      </c>
      <c r="B307">
        <f>INT((A307-1)/12)+1</f>
      </c>
      <c r="C307" s="10">
        <f>H306</f>
      </c>
      <c r="D307" s="10">
        <f>IF(C307&lt;=0,0,MIN(-PMT(InterestRate/12,LoanYears*12,LoanAmount),C307+E307))</f>
      </c>
      <c r="E307" s="10">
        <f>IF(C307&gt;0,C307*InterestRate/12,0)</f>
      </c>
      <c r="F307" s="10">
        <f>D307-E307</f>
      </c>
      <c r="G307" s="10">
        <f>IF(AND(BonusFlag="あり",MOD(A307,6)=0,C307-F307&gt;0),MIN(BonusAmount,C307-F307),0)</f>
      </c>
      <c r="H307" s="10">
        <f>MAX(C307-F307-G307,0)</f>
      </c>
      <c r="I307" s="10">
        <f>I306+D307+G307</f>
      </c>
      <c r="J307" s="10">
        <f>J306+E307</f>
      </c>
      <c r="K307" s="10">
        <f>K306+F307+G307</f>
      </c>
    </row>
    <row r="308" spans="1:11" x14ac:dyDescent="0.25">
      <c r="A308">
        <v>306</v>
      </c>
      <c r="B308">
        <f>INT((A308-1)/12)+1</f>
      </c>
      <c r="C308" s="10">
        <f>H307</f>
      </c>
      <c r="D308" s="10">
        <f>IF(C308&lt;=0,0,MIN(-PMT(InterestRate/12,LoanYears*12,LoanAmount),C308+E308))</f>
      </c>
      <c r="E308" s="10">
        <f>IF(C308&gt;0,C308*InterestRate/12,0)</f>
      </c>
      <c r="F308" s="10">
        <f>D308-E308</f>
      </c>
      <c r="G308" s="10">
        <f>IF(AND(BonusFlag="あり",MOD(A308,6)=0,C308-F308&gt;0),MIN(BonusAmount,C308-F308),0)</f>
      </c>
      <c r="H308" s="10">
        <f>MAX(C308-F308-G308,0)</f>
      </c>
      <c r="I308" s="10">
        <f>I307+D308+G308</f>
      </c>
      <c r="J308" s="10">
        <f>J307+E308</f>
      </c>
      <c r="K308" s="10">
        <f>K307+F308+G308</f>
      </c>
    </row>
    <row r="309" spans="1:11" x14ac:dyDescent="0.25">
      <c r="A309">
        <v>307</v>
      </c>
      <c r="B309">
        <f>INT((A309-1)/12)+1</f>
      </c>
      <c r="C309" s="10">
        <f>H308</f>
      </c>
      <c r="D309" s="10">
        <f>IF(C309&lt;=0,0,MIN(-PMT(InterestRate/12,LoanYears*12,LoanAmount),C309+E309))</f>
      </c>
      <c r="E309" s="10">
        <f>IF(C309&gt;0,C309*InterestRate/12,0)</f>
      </c>
      <c r="F309" s="10">
        <f>D309-E309</f>
      </c>
      <c r="G309" s="10">
        <f>IF(AND(BonusFlag="あり",MOD(A309,6)=0,C309-F309&gt;0),MIN(BonusAmount,C309-F309),0)</f>
      </c>
      <c r="H309" s="10">
        <f>MAX(C309-F309-G309,0)</f>
      </c>
      <c r="I309" s="10">
        <f>I308+D309+G309</f>
      </c>
      <c r="J309" s="10">
        <f>J308+E309</f>
      </c>
      <c r="K309" s="10">
        <f>K308+F309+G309</f>
      </c>
    </row>
    <row r="310" spans="1:11" x14ac:dyDescent="0.25">
      <c r="A310">
        <v>308</v>
      </c>
      <c r="B310">
        <f>INT((A310-1)/12)+1</f>
      </c>
      <c r="C310" s="10">
        <f>H309</f>
      </c>
      <c r="D310" s="10">
        <f>IF(C310&lt;=0,0,MIN(-PMT(InterestRate/12,LoanYears*12,LoanAmount),C310+E310))</f>
      </c>
      <c r="E310" s="10">
        <f>IF(C310&gt;0,C310*InterestRate/12,0)</f>
      </c>
      <c r="F310" s="10">
        <f>D310-E310</f>
      </c>
      <c r="G310" s="10">
        <f>IF(AND(BonusFlag="あり",MOD(A310,6)=0,C310-F310&gt;0),MIN(BonusAmount,C310-F310),0)</f>
      </c>
      <c r="H310" s="10">
        <f>MAX(C310-F310-G310,0)</f>
      </c>
      <c r="I310" s="10">
        <f>I309+D310+G310</f>
      </c>
      <c r="J310" s="10">
        <f>J309+E310</f>
      </c>
      <c r="K310" s="10">
        <f>K309+F310+G310</f>
      </c>
    </row>
    <row r="311" spans="1:11" x14ac:dyDescent="0.25">
      <c r="A311">
        <v>309</v>
      </c>
      <c r="B311">
        <f>INT((A311-1)/12)+1</f>
      </c>
      <c r="C311" s="10">
        <f>H310</f>
      </c>
      <c r="D311" s="10">
        <f>IF(C311&lt;=0,0,MIN(-PMT(InterestRate/12,LoanYears*12,LoanAmount),C311+E311))</f>
      </c>
      <c r="E311" s="10">
        <f>IF(C311&gt;0,C311*InterestRate/12,0)</f>
      </c>
      <c r="F311" s="10">
        <f>D311-E311</f>
      </c>
      <c r="G311" s="10">
        <f>IF(AND(BonusFlag="あり",MOD(A311,6)=0,C311-F311&gt;0),MIN(BonusAmount,C311-F311),0)</f>
      </c>
      <c r="H311" s="10">
        <f>MAX(C311-F311-G311,0)</f>
      </c>
      <c r="I311" s="10">
        <f>I310+D311+G311</f>
      </c>
      <c r="J311" s="10">
        <f>J310+E311</f>
      </c>
      <c r="K311" s="10">
        <f>K310+F311+G311</f>
      </c>
    </row>
    <row r="312" spans="1:11" x14ac:dyDescent="0.25">
      <c r="A312">
        <v>310</v>
      </c>
      <c r="B312">
        <f>INT((A312-1)/12)+1</f>
      </c>
      <c r="C312" s="10">
        <f>H311</f>
      </c>
      <c r="D312" s="10">
        <f>IF(C312&lt;=0,0,MIN(-PMT(InterestRate/12,LoanYears*12,LoanAmount),C312+E312))</f>
      </c>
      <c r="E312" s="10">
        <f>IF(C312&gt;0,C312*InterestRate/12,0)</f>
      </c>
      <c r="F312" s="10">
        <f>D312-E312</f>
      </c>
      <c r="G312" s="10">
        <f>IF(AND(BonusFlag="あり",MOD(A312,6)=0,C312-F312&gt;0),MIN(BonusAmount,C312-F312),0)</f>
      </c>
      <c r="H312" s="10">
        <f>MAX(C312-F312-G312,0)</f>
      </c>
      <c r="I312" s="10">
        <f>I311+D312+G312</f>
      </c>
      <c r="J312" s="10">
        <f>J311+E312</f>
      </c>
      <c r="K312" s="10">
        <f>K311+F312+G312</f>
      </c>
    </row>
    <row r="313" spans="1:11" x14ac:dyDescent="0.25">
      <c r="A313">
        <v>311</v>
      </c>
      <c r="B313">
        <f>INT((A313-1)/12)+1</f>
      </c>
      <c r="C313" s="10">
        <f>H312</f>
      </c>
      <c r="D313" s="10">
        <f>IF(C313&lt;=0,0,MIN(-PMT(InterestRate/12,LoanYears*12,LoanAmount),C313+E313))</f>
      </c>
      <c r="E313" s="10">
        <f>IF(C313&gt;0,C313*InterestRate/12,0)</f>
      </c>
      <c r="F313" s="10">
        <f>D313-E313</f>
      </c>
      <c r="G313" s="10">
        <f>IF(AND(BonusFlag="あり",MOD(A313,6)=0,C313-F313&gt;0),MIN(BonusAmount,C313-F313),0)</f>
      </c>
      <c r="H313" s="10">
        <f>MAX(C313-F313-G313,0)</f>
      </c>
      <c r="I313" s="10">
        <f>I312+D313+G313</f>
      </c>
      <c r="J313" s="10">
        <f>J312+E313</f>
      </c>
      <c r="K313" s="10">
        <f>K312+F313+G313</f>
      </c>
    </row>
    <row r="314" spans="1:11" x14ac:dyDescent="0.25">
      <c r="A314">
        <v>312</v>
      </c>
      <c r="B314">
        <f>INT((A314-1)/12)+1</f>
      </c>
      <c r="C314" s="10">
        <f>H313</f>
      </c>
      <c r="D314" s="10">
        <f>IF(C314&lt;=0,0,MIN(-PMT(InterestRate/12,LoanYears*12,LoanAmount),C314+E314))</f>
      </c>
      <c r="E314" s="10">
        <f>IF(C314&gt;0,C314*InterestRate/12,0)</f>
      </c>
      <c r="F314" s="10">
        <f>D314-E314</f>
      </c>
      <c r="G314" s="10">
        <f>IF(AND(BonusFlag="あり",MOD(A314,6)=0,C314-F314&gt;0),MIN(BonusAmount,C314-F314),0)</f>
      </c>
      <c r="H314" s="10">
        <f>MAX(C314-F314-G314,0)</f>
      </c>
      <c r="I314" s="10">
        <f>I313+D314+G314</f>
      </c>
      <c r="J314" s="10">
        <f>J313+E314</f>
      </c>
      <c r="K314" s="10">
        <f>K313+F314+G314</f>
      </c>
    </row>
    <row r="315" spans="1:11" x14ac:dyDescent="0.25">
      <c r="A315">
        <v>313</v>
      </c>
      <c r="B315">
        <f>INT((A315-1)/12)+1</f>
      </c>
      <c r="C315" s="10">
        <f>H314</f>
      </c>
      <c r="D315" s="10">
        <f>IF(C315&lt;=0,0,MIN(-PMT(InterestRate/12,LoanYears*12,LoanAmount),C315+E315))</f>
      </c>
      <c r="E315" s="10">
        <f>IF(C315&gt;0,C315*InterestRate/12,0)</f>
      </c>
      <c r="F315" s="10">
        <f>D315-E315</f>
      </c>
      <c r="G315" s="10">
        <f>IF(AND(BonusFlag="あり",MOD(A315,6)=0,C315-F315&gt;0),MIN(BonusAmount,C315-F315),0)</f>
      </c>
      <c r="H315" s="10">
        <f>MAX(C315-F315-G315,0)</f>
      </c>
      <c r="I315" s="10">
        <f>I314+D315+G315</f>
      </c>
      <c r="J315" s="10">
        <f>J314+E315</f>
      </c>
      <c r="K315" s="10">
        <f>K314+F315+G315</f>
      </c>
    </row>
    <row r="316" spans="1:11" x14ac:dyDescent="0.25">
      <c r="A316">
        <v>314</v>
      </c>
      <c r="B316">
        <f>INT((A316-1)/12)+1</f>
      </c>
      <c r="C316" s="10">
        <f>H315</f>
      </c>
      <c r="D316" s="10">
        <f>IF(C316&lt;=0,0,MIN(-PMT(InterestRate/12,LoanYears*12,LoanAmount),C316+E316))</f>
      </c>
      <c r="E316" s="10">
        <f>IF(C316&gt;0,C316*InterestRate/12,0)</f>
      </c>
      <c r="F316" s="10">
        <f>D316-E316</f>
      </c>
      <c r="G316" s="10">
        <f>IF(AND(BonusFlag="あり",MOD(A316,6)=0,C316-F316&gt;0),MIN(BonusAmount,C316-F316),0)</f>
      </c>
      <c r="H316" s="10">
        <f>MAX(C316-F316-G316,0)</f>
      </c>
      <c r="I316" s="10">
        <f>I315+D316+G316</f>
      </c>
      <c r="J316" s="10">
        <f>J315+E316</f>
      </c>
      <c r="K316" s="10">
        <f>K315+F316+G316</f>
      </c>
    </row>
    <row r="317" spans="1:11" x14ac:dyDescent="0.25">
      <c r="A317">
        <v>315</v>
      </c>
      <c r="B317">
        <f>INT((A317-1)/12)+1</f>
      </c>
      <c r="C317" s="10">
        <f>H316</f>
      </c>
      <c r="D317" s="10">
        <f>IF(C317&lt;=0,0,MIN(-PMT(InterestRate/12,LoanYears*12,LoanAmount),C317+E317))</f>
      </c>
      <c r="E317" s="10">
        <f>IF(C317&gt;0,C317*InterestRate/12,0)</f>
      </c>
      <c r="F317" s="10">
        <f>D317-E317</f>
      </c>
      <c r="G317" s="10">
        <f>IF(AND(BonusFlag="あり",MOD(A317,6)=0,C317-F317&gt;0),MIN(BonusAmount,C317-F317),0)</f>
      </c>
      <c r="H317" s="10">
        <f>MAX(C317-F317-G317,0)</f>
      </c>
      <c r="I317" s="10">
        <f>I316+D317+G317</f>
      </c>
      <c r="J317" s="10">
        <f>J316+E317</f>
      </c>
      <c r="K317" s="10">
        <f>K316+F317+G317</f>
      </c>
    </row>
    <row r="318" spans="1:11" x14ac:dyDescent="0.25">
      <c r="A318">
        <v>316</v>
      </c>
      <c r="B318">
        <f>INT((A318-1)/12)+1</f>
      </c>
      <c r="C318" s="10">
        <f>H317</f>
      </c>
      <c r="D318" s="10">
        <f>IF(C318&lt;=0,0,MIN(-PMT(InterestRate/12,LoanYears*12,LoanAmount),C318+E318))</f>
      </c>
      <c r="E318" s="10">
        <f>IF(C318&gt;0,C318*InterestRate/12,0)</f>
      </c>
      <c r="F318" s="10">
        <f>D318-E318</f>
      </c>
      <c r="G318" s="10">
        <f>IF(AND(BonusFlag="あり",MOD(A318,6)=0,C318-F318&gt;0),MIN(BonusAmount,C318-F318),0)</f>
      </c>
      <c r="H318" s="10">
        <f>MAX(C318-F318-G318,0)</f>
      </c>
      <c r="I318" s="10">
        <f>I317+D318+G318</f>
      </c>
      <c r="J318" s="10">
        <f>J317+E318</f>
      </c>
      <c r="K318" s="10">
        <f>K317+F318+G318</f>
      </c>
    </row>
    <row r="319" spans="1:11" x14ac:dyDescent="0.25">
      <c r="A319">
        <v>317</v>
      </c>
      <c r="B319">
        <f>INT((A319-1)/12)+1</f>
      </c>
      <c r="C319" s="10">
        <f>H318</f>
      </c>
      <c r="D319" s="10">
        <f>IF(C319&lt;=0,0,MIN(-PMT(InterestRate/12,LoanYears*12,LoanAmount),C319+E319))</f>
      </c>
      <c r="E319" s="10">
        <f>IF(C319&gt;0,C319*InterestRate/12,0)</f>
      </c>
      <c r="F319" s="10">
        <f>D319-E319</f>
      </c>
      <c r="G319" s="10">
        <f>IF(AND(BonusFlag="あり",MOD(A319,6)=0,C319-F319&gt;0),MIN(BonusAmount,C319-F319),0)</f>
      </c>
      <c r="H319" s="10">
        <f>MAX(C319-F319-G319,0)</f>
      </c>
      <c r="I319" s="10">
        <f>I318+D319+G319</f>
      </c>
      <c r="J319" s="10">
        <f>J318+E319</f>
      </c>
      <c r="K319" s="10">
        <f>K318+F319+G319</f>
      </c>
    </row>
    <row r="320" spans="1:11" x14ac:dyDescent="0.25">
      <c r="A320">
        <v>318</v>
      </c>
      <c r="B320">
        <f>INT((A320-1)/12)+1</f>
      </c>
      <c r="C320" s="10">
        <f>H319</f>
      </c>
      <c r="D320" s="10">
        <f>IF(C320&lt;=0,0,MIN(-PMT(InterestRate/12,LoanYears*12,LoanAmount),C320+E320))</f>
      </c>
      <c r="E320" s="10">
        <f>IF(C320&gt;0,C320*InterestRate/12,0)</f>
      </c>
      <c r="F320" s="10">
        <f>D320-E320</f>
      </c>
      <c r="G320" s="10">
        <f>IF(AND(BonusFlag="あり",MOD(A320,6)=0,C320-F320&gt;0),MIN(BonusAmount,C320-F320),0)</f>
      </c>
      <c r="H320" s="10">
        <f>MAX(C320-F320-G320,0)</f>
      </c>
      <c r="I320" s="10">
        <f>I319+D320+G320</f>
      </c>
      <c r="J320" s="10">
        <f>J319+E320</f>
      </c>
      <c r="K320" s="10">
        <f>K319+F320+G320</f>
      </c>
    </row>
    <row r="321" spans="1:11" x14ac:dyDescent="0.25">
      <c r="A321">
        <v>319</v>
      </c>
      <c r="B321">
        <f>INT((A321-1)/12)+1</f>
      </c>
      <c r="C321" s="10">
        <f>H320</f>
      </c>
      <c r="D321" s="10">
        <f>IF(C321&lt;=0,0,MIN(-PMT(InterestRate/12,LoanYears*12,LoanAmount),C321+E321))</f>
      </c>
      <c r="E321" s="10">
        <f>IF(C321&gt;0,C321*InterestRate/12,0)</f>
      </c>
      <c r="F321" s="10">
        <f>D321-E321</f>
      </c>
      <c r="G321" s="10">
        <f>IF(AND(BonusFlag="あり",MOD(A321,6)=0,C321-F321&gt;0),MIN(BonusAmount,C321-F321),0)</f>
      </c>
      <c r="H321" s="10">
        <f>MAX(C321-F321-G321,0)</f>
      </c>
      <c r="I321" s="10">
        <f>I320+D321+G321</f>
      </c>
      <c r="J321" s="10">
        <f>J320+E321</f>
      </c>
      <c r="K321" s="10">
        <f>K320+F321+G321</f>
      </c>
    </row>
    <row r="322" spans="1:11" x14ac:dyDescent="0.25">
      <c r="A322">
        <v>320</v>
      </c>
      <c r="B322">
        <f>INT((A322-1)/12)+1</f>
      </c>
      <c r="C322" s="10">
        <f>H321</f>
      </c>
      <c r="D322" s="10">
        <f>IF(C322&lt;=0,0,MIN(-PMT(InterestRate/12,LoanYears*12,LoanAmount),C322+E322))</f>
      </c>
      <c r="E322" s="10">
        <f>IF(C322&gt;0,C322*InterestRate/12,0)</f>
      </c>
      <c r="F322" s="10">
        <f>D322-E322</f>
      </c>
      <c r="G322" s="10">
        <f>IF(AND(BonusFlag="あり",MOD(A322,6)=0,C322-F322&gt;0),MIN(BonusAmount,C322-F322),0)</f>
      </c>
      <c r="H322" s="10">
        <f>MAX(C322-F322-G322,0)</f>
      </c>
      <c r="I322" s="10">
        <f>I321+D322+G322</f>
      </c>
      <c r="J322" s="10">
        <f>J321+E322</f>
      </c>
      <c r="K322" s="10">
        <f>K321+F322+G322</f>
      </c>
    </row>
    <row r="323" spans="1:11" x14ac:dyDescent="0.25">
      <c r="A323">
        <v>321</v>
      </c>
      <c r="B323">
        <f>INT((A323-1)/12)+1</f>
      </c>
      <c r="C323" s="10">
        <f>H322</f>
      </c>
      <c r="D323" s="10">
        <f>IF(C323&lt;=0,0,MIN(-PMT(InterestRate/12,LoanYears*12,LoanAmount),C323+E323))</f>
      </c>
      <c r="E323" s="10">
        <f>IF(C323&gt;0,C323*InterestRate/12,0)</f>
      </c>
      <c r="F323" s="10">
        <f>D323-E323</f>
      </c>
      <c r="G323" s="10">
        <f>IF(AND(BonusFlag="あり",MOD(A323,6)=0,C323-F323&gt;0),MIN(BonusAmount,C323-F323),0)</f>
      </c>
      <c r="H323" s="10">
        <f>MAX(C323-F323-G323,0)</f>
      </c>
      <c r="I323" s="10">
        <f>I322+D323+G323</f>
      </c>
      <c r="J323" s="10">
        <f>J322+E323</f>
      </c>
      <c r="K323" s="10">
        <f>K322+F323+G323</f>
      </c>
    </row>
    <row r="324" spans="1:11" x14ac:dyDescent="0.25">
      <c r="A324">
        <v>322</v>
      </c>
      <c r="B324">
        <f>INT((A324-1)/12)+1</f>
      </c>
      <c r="C324" s="10">
        <f>H323</f>
      </c>
      <c r="D324" s="10">
        <f>IF(C324&lt;=0,0,MIN(-PMT(InterestRate/12,LoanYears*12,LoanAmount),C324+E324))</f>
      </c>
      <c r="E324" s="10">
        <f>IF(C324&gt;0,C324*InterestRate/12,0)</f>
      </c>
      <c r="F324" s="10">
        <f>D324-E324</f>
      </c>
      <c r="G324" s="10">
        <f>IF(AND(BonusFlag="あり",MOD(A324,6)=0,C324-F324&gt;0),MIN(BonusAmount,C324-F324),0)</f>
      </c>
      <c r="H324" s="10">
        <f>MAX(C324-F324-G324,0)</f>
      </c>
      <c r="I324" s="10">
        <f>I323+D324+G324</f>
      </c>
      <c r="J324" s="10">
        <f>J323+E324</f>
      </c>
      <c r="K324" s="10">
        <f>K323+F324+G324</f>
      </c>
    </row>
    <row r="325" spans="1:11" x14ac:dyDescent="0.25">
      <c r="A325">
        <v>323</v>
      </c>
      <c r="B325">
        <f>INT((A325-1)/12)+1</f>
      </c>
      <c r="C325" s="10">
        <f>H324</f>
      </c>
      <c r="D325" s="10">
        <f>IF(C325&lt;=0,0,MIN(-PMT(InterestRate/12,LoanYears*12,LoanAmount),C325+E325))</f>
      </c>
      <c r="E325" s="10">
        <f>IF(C325&gt;0,C325*InterestRate/12,0)</f>
      </c>
      <c r="F325" s="10">
        <f>D325-E325</f>
      </c>
      <c r="G325" s="10">
        <f>IF(AND(BonusFlag="あり",MOD(A325,6)=0,C325-F325&gt;0),MIN(BonusAmount,C325-F325),0)</f>
      </c>
      <c r="H325" s="10">
        <f>MAX(C325-F325-G325,0)</f>
      </c>
      <c r="I325" s="10">
        <f>I324+D325+G325</f>
      </c>
      <c r="J325" s="10">
        <f>J324+E325</f>
      </c>
      <c r="K325" s="10">
        <f>K324+F325+G325</f>
      </c>
    </row>
    <row r="326" spans="1:11" x14ac:dyDescent="0.25">
      <c r="A326">
        <v>324</v>
      </c>
      <c r="B326">
        <f>INT((A326-1)/12)+1</f>
      </c>
      <c r="C326" s="10">
        <f>H325</f>
      </c>
      <c r="D326" s="10">
        <f>IF(C326&lt;=0,0,MIN(-PMT(InterestRate/12,LoanYears*12,LoanAmount),C326+E326))</f>
      </c>
      <c r="E326" s="10">
        <f>IF(C326&gt;0,C326*InterestRate/12,0)</f>
      </c>
      <c r="F326" s="10">
        <f>D326-E326</f>
      </c>
      <c r="G326" s="10">
        <f>IF(AND(BonusFlag="あり",MOD(A326,6)=0,C326-F326&gt;0),MIN(BonusAmount,C326-F326),0)</f>
      </c>
      <c r="H326" s="10">
        <f>MAX(C326-F326-G326,0)</f>
      </c>
      <c r="I326" s="10">
        <f>I325+D326+G326</f>
      </c>
      <c r="J326" s="10">
        <f>J325+E326</f>
      </c>
      <c r="K326" s="10">
        <f>K325+F326+G326</f>
      </c>
    </row>
    <row r="327" spans="1:11" x14ac:dyDescent="0.25">
      <c r="A327">
        <v>325</v>
      </c>
      <c r="B327">
        <f>INT((A327-1)/12)+1</f>
      </c>
      <c r="C327" s="10">
        <f>H326</f>
      </c>
      <c r="D327" s="10">
        <f>IF(C327&lt;=0,0,MIN(-PMT(InterestRate/12,LoanYears*12,LoanAmount),C327+E327))</f>
      </c>
      <c r="E327" s="10">
        <f>IF(C327&gt;0,C327*InterestRate/12,0)</f>
      </c>
      <c r="F327" s="10">
        <f>D327-E327</f>
      </c>
      <c r="G327" s="10">
        <f>IF(AND(BonusFlag="あり",MOD(A327,6)=0,C327-F327&gt;0),MIN(BonusAmount,C327-F327),0)</f>
      </c>
      <c r="H327" s="10">
        <f>MAX(C327-F327-G327,0)</f>
      </c>
      <c r="I327" s="10">
        <f>I326+D327+G327</f>
      </c>
      <c r="J327" s="10">
        <f>J326+E327</f>
      </c>
      <c r="K327" s="10">
        <f>K326+F327+G327</f>
      </c>
    </row>
    <row r="328" spans="1:11" x14ac:dyDescent="0.25">
      <c r="A328">
        <v>326</v>
      </c>
      <c r="B328">
        <f>INT((A328-1)/12)+1</f>
      </c>
      <c r="C328" s="10">
        <f>H327</f>
      </c>
      <c r="D328" s="10">
        <f>IF(C328&lt;=0,0,MIN(-PMT(InterestRate/12,LoanYears*12,LoanAmount),C328+E328))</f>
      </c>
      <c r="E328" s="10">
        <f>IF(C328&gt;0,C328*InterestRate/12,0)</f>
      </c>
      <c r="F328" s="10">
        <f>D328-E328</f>
      </c>
      <c r="G328" s="10">
        <f>IF(AND(BonusFlag="あり",MOD(A328,6)=0,C328-F328&gt;0),MIN(BonusAmount,C328-F328),0)</f>
      </c>
      <c r="H328" s="10">
        <f>MAX(C328-F328-G328,0)</f>
      </c>
      <c r="I328" s="10">
        <f>I327+D328+G328</f>
      </c>
      <c r="J328" s="10">
        <f>J327+E328</f>
      </c>
      <c r="K328" s="10">
        <f>K327+F328+G328</f>
      </c>
    </row>
    <row r="329" spans="1:11" x14ac:dyDescent="0.25">
      <c r="A329">
        <v>327</v>
      </c>
      <c r="B329">
        <f>INT((A329-1)/12)+1</f>
      </c>
      <c r="C329" s="10">
        <f>H328</f>
      </c>
      <c r="D329" s="10">
        <f>IF(C329&lt;=0,0,MIN(-PMT(InterestRate/12,LoanYears*12,LoanAmount),C329+E329))</f>
      </c>
      <c r="E329" s="10">
        <f>IF(C329&gt;0,C329*InterestRate/12,0)</f>
      </c>
      <c r="F329" s="10">
        <f>D329-E329</f>
      </c>
      <c r="G329" s="10">
        <f>IF(AND(BonusFlag="あり",MOD(A329,6)=0,C329-F329&gt;0),MIN(BonusAmount,C329-F329),0)</f>
      </c>
      <c r="H329" s="10">
        <f>MAX(C329-F329-G329,0)</f>
      </c>
      <c r="I329" s="10">
        <f>I328+D329+G329</f>
      </c>
      <c r="J329" s="10">
        <f>J328+E329</f>
      </c>
      <c r="K329" s="10">
        <f>K328+F329+G329</f>
      </c>
    </row>
    <row r="330" spans="1:11" x14ac:dyDescent="0.25">
      <c r="A330">
        <v>328</v>
      </c>
      <c r="B330">
        <f>INT((A330-1)/12)+1</f>
      </c>
      <c r="C330" s="10">
        <f>H329</f>
      </c>
      <c r="D330" s="10">
        <f>IF(C330&lt;=0,0,MIN(-PMT(InterestRate/12,LoanYears*12,LoanAmount),C330+E330))</f>
      </c>
      <c r="E330" s="10">
        <f>IF(C330&gt;0,C330*InterestRate/12,0)</f>
      </c>
      <c r="F330" s="10">
        <f>D330-E330</f>
      </c>
      <c r="G330" s="10">
        <f>IF(AND(BonusFlag="あり",MOD(A330,6)=0,C330-F330&gt;0),MIN(BonusAmount,C330-F330),0)</f>
      </c>
      <c r="H330" s="10">
        <f>MAX(C330-F330-G330,0)</f>
      </c>
      <c r="I330" s="10">
        <f>I329+D330+G330</f>
      </c>
      <c r="J330" s="10">
        <f>J329+E330</f>
      </c>
      <c r="K330" s="10">
        <f>K329+F330+G330</f>
      </c>
    </row>
    <row r="331" spans="1:11" x14ac:dyDescent="0.25">
      <c r="A331">
        <v>329</v>
      </c>
      <c r="B331">
        <f>INT((A331-1)/12)+1</f>
      </c>
      <c r="C331" s="10">
        <f>H330</f>
      </c>
      <c r="D331" s="10">
        <f>IF(C331&lt;=0,0,MIN(-PMT(InterestRate/12,LoanYears*12,LoanAmount),C331+E331))</f>
      </c>
      <c r="E331" s="10">
        <f>IF(C331&gt;0,C331*InterestRate/12,0)</f>
      </c>
      <c r="F331" s="10">
        <f>D331-E331</f>
      </c>
      <c r="G331" s="10">
        <f>IF(AND(BonusFlag="あり",MOD(A331,6)=0,C331-F331&gt;0),MIN(BonusAmount,C331-F331),0)</f>
      </c>
      <c r="H331" s="10">
        <f>MAX(C331-F331-G331,0)</f>
      </c>
      <c r="I331" s="10">
        <f>I330+D331+G331</f>
      </c>
      <c r="J331" s="10">
        <f>J330+E331</f>
      </c>
      <c r="K331" s="10">
        <f>K330+F331+G331</f>
      </c>
    </row>
    <row r="332" spans="1:11" x14ac:dyDescent="0.25">
      <c r="A332">
        <v>330</v>
      </c>
      <c r="B332">
        <f>INT((A332-1)/12)+1</f>
      </c>
      <c r="C332" s="10">
        <f>H331</f>
      </c>
      <c r="D332" s="10">
        <f>IF(C332&lt;=0,0,MIN(-PMT(InterestRate/12,LoanYears*12,LoanAmount),C332+E332))</f>
      </c>
      <c r="E332" s="10">
        <f>IF(C332&gt;0,C332*InterestRate/12,0)</f>
      </c>
      <c r="F332" s="10">
        <f>D332-E332</f>
      </c>
      <c r="G332" s="10">
        <f>IF(AND(BonusFlag="あり",MOD(A332,6)=0,C332-F332&gt;0),MIN(BonusAmount,C332-F332),0)</f>
      </c>
      <c r="H332" s="10">
        <f>MAX(C332-F332-G332,0)</f>
      </c>
      <c r="I332" s="10">
        <f>I331+D332+G332</f>
      </c>
      <c r="J332" s="10">
        <f>J331+E332</f>
      </c>
      <c r="K332" s="10">
        <f>K331+F332+G332</f>
      </c>
    </row>
    <row r="333" spans="1:11" x14ac:dyDescent="0.25">
      <c r="A333">
        <v>331</v>
      </c>
      <c r="B333">
        <f>INT((A333-1)/12)+1</f>
      </c>
      <c r="C333" s="10">
        <f>H332</f>
      </c>
      <c r="D333" s="10">
        <f>IF(C333&lt;=0,0,MIN(-PMT(InterestRate/12,LoanYears*12,LoanAmount),C333+E333))</f>
      </c>
      <c r="E333" s="10">
        <f>IF(C333&gt;0,C333*InterestRate/12,0)</f>
      </c>
      <c r="F333" s="10">
        <f>D333-E333</f>
      </c>
      <c r="G333" s="10">
        <f>IF(AND(BonusFlag="あり",MOD(A333,6)=0,C333-F333&gt;0),MIN(BonusAmount,C333-F333),0)</f>
      </c>
      <c r="H333" s="10">
        <f>MAX(C333-F333-G333,0)</f>
      </c>
      <c r="I333" s="10">
        <f>I332+D333+G333</f>
      </c>
      <c r="J333" s="10">
        <f>J332+E333</f>
      </c>
      <c r="K333" s="10">
        <f>K332+F333+G333</f>
      </c>
    </row>
    <row r="334" spans="1:11" x14ac:dyDescent="0.25">
      <c r="A334">
        <v>332</v>
      </c>
      <c r="B334">
        <f>INT((A334-1)/12)+1</f>
      </c>
      <c r="C334" s="10">
        <f>H333</f>
      </c>
      <c r="D334" s="10">
        <f>IF(C334&lt;=0,0,MIN(-PMT(InterestRate/12,LoanYears*12,LoanAmount),C334+E334))</f>
      </c>
      <c r="E334" s="10">
        <f>IF(C334&gt;0,C334*InterestRate/12,0)</f>
      </c>
      <c r="F334" s="10">
        <f>D334-E334</f>
      </c>
      <c r="G334" s="10">
        <f>IF(AND(BonusFlag="あり",MOD(A334,6)=0,C334-F334&gt;0),MIN(BonusAmount,C334-F334),0)</f>
      </c>
      <c r="H334" s="10">
        <f>MAX(C334-F334-G334,0)</f>
      </c>
      <c r="I334" s="10">
        <f>I333+D334+G334</f>
      </c>
      <c r="J334" s="10">
        <f>J333+E334</f>
      </c>
      <c r="K334" s="10">
        <f>K333+F334+G334</f>
      </c>
    </row>
    <row r="335" spans="1:11" x14ac:dyDescent="0.25">
      <c r="A335">
        <v>333</v>
      </c>
      <c r="B335">
        <f>INT((A335-1)/12)+1</f>
      </c>
      <c r="C335" s="10">
        <f>H334</f>
      </c>
      <c r="D335" s="10">
        <f>IF(C335&lt;=0,0,MIN(-PMT(InterestRate/12,LoanYears*12,LoanAmount),C335+E335))</f>
      </c>
      <c r="E335" s="10">
        <f>IF(C335&gt;0,C335*InterestRate/12,0)</f>
      </c>
      <c r="F335" s="10">
        <f>D335-E335</f>
      </c>
      <c r="G335" s="10">
        <f>IF(AND(BonusFlag="あり",MOD(A335,6)=0,C335-F335&gt;0),MIN(BonusAmount,C335-F335),0)</f>
      </c>
      <c r="H335" s="10">
        <f>MAX(C335-F335-G335,0)</f>
      </c>
      <c r="I335" s="10">
        <f>I334+D335+G335</f>
      </c>
      <c r="J335" s="10">
        <f>J334+E335</f>
      </c>
      <c r="K335" s="10">
        <f>K334+F335+G335</f>
      </c>
    </row>
    <row r="336" spans="1:11" x14ac:dyDescent="0.25">
      <c r="A336">
        <v>334</v>
      </c>
      <c r="B336">
        <f>INT((A336-1)/12)+1</f>
      </c>
      <c r="C336" s="10">
        <f>H335</f>
      </c>
      <c r="D336" s="10">
        <f>IF(C336&lt;=0,0,MIN(-PMT(InterestRate/12,LoanYears*12,LoanAmount),C336+E336))</f>
      </c>
      <c r="E336" s="10">
        <f>IF(C336&gt;0,C336*InterestRate/12,0)</f>
      </c>
      <c r="F336" s="10">
        <f>D336-E336</f>
      </c>
      <c r="G336" s="10">
        <f>IF(AND(BonusFlag="あり",MOD(A336,6)=0,C336-F336&gt;0),MIN(BonusAmount,C336-F336),0)</f>
      </c>
      <c r="H336" s="10">
        <f>MAX(C336-F336-G336,0)</f>
      </c>
      <c r="I336" s="10">
        <f>I335+D336+G336</f>
      </c>
      <c r="J336" s="10">
        <f>J335+E336</f>
      </c>
      <c r="K336" s="10">
        <f>K335+F336+G336</f>
      </c>
    </row>
    <row r="337" spans="1:11" x14ac:dyDescent="0.25">
      <c r="A337">
        <v>335</v>
      </c>
      <c r="B337">
        <f>INT((A337-1)/12)+1</f>
      </c>
      <c r="C337" s="10">
        <f>H336</f>
      </c>
      <c r="D337" s="10">
        <f>IF(C337&lt;=0,0,MIN(-PMT(InterestRate/12,LoanYears*12,LoanAmount),C337+E337))</f>
      </c>
      <c r="E337" s="10">
        <f>IF(C337&gt;0,C337*InterestRate/12,0)</f>
      </c>
      <c r="F337" s="10">
        <f>D337-E337</f>
      </c>
      <c r="G337" s="10">
        <f>IF(AND(BonusFlag="あり",MOD(A337,6)=0,C337-F337&gt;0),MIN(BonusAmount,C337-F337),0)</f>
      </c>
      <c r="H337" s="10">
        <f>MAX(C337-F337-G337,0)</f>
      </c>
      <c r="I337" s="10">
        <f>I336+D337+G337</f>
      </c>
      <c r="J337" s="10">
        <f>J336+E337</f>
      </c>
      <c r="K337" s="10">
        <f>K336+F337+G337</f>
      </c>
    </row>
    <row r="338" spans="1:11" x14ac:dyDescent="0.25">
      <c r="A338">
        <v>336</v>
      </c>
      <c r="B338">
        <f>INT((A338-1)/12)+1</f>
      </c>
      <c r="C338" s="10">
        <f>H337</f>
      </c>
      <c r="D338" s="10">
        <f>IF(C338&lt;=0,0,MIN(-PMT(InterestRate/12,LoanYears*12,LoanAmount),C338+E338))</f>
      </c>
      <c r="E338" s="10">
        <f>IF(C338&gt;0,C338*InterestRate/12,0)</f>
      </c>
      <c r="F338" s="10">
        <f>D338-E338</f>
      </c>
      <c r="G338" s="10">
        <f>IF(AND(BonusFlag="あり",MOD(A338,6)=0,C338-F338&gt;0),MIN(BonusAmount,C338-F338),0)</f>
      </c>
      <c r="H338" s="10">
        <f>MAX(C338-F338-G338,0)</f>
      </c>
      <c r="I338" s="10">
        <f>I337+D338+G338</f>
      </c>
      <c r="J338" s="10">
        <f>J337+E338</f>
      </c>
      <c r="K338" s="10">
        <f>K337+F338+G338</f>
      </c>
    </row>
    <row r="339" spans="1:11" x14ac:dyDescent="0.25">
      <c r="A339">
        <v>337</v>
      </c>
      <c r="B339">
        <f>INT((A339-1)/12)+1</f>
      </c>
      <c r="C339" s="10">
        <f>H338</f>
      </c>
      <c r="D339" s="10">
        <f>IF(C339&lt;=0,0,MIN(-PMT(InterestRate/12,LoanYears*12,LoanAmount),C339+E339))</f>
      </c>
      <c r="E339" s="10">
        <f>IF(C339&gt;0,C339*InterestRate/12,0)</f>
      </c>
      <c r="F339" s="10">
        <f>D339-E339</f>
      </c>
      <c r="G339" s="10">
        <f>IF(AND(BonusFlag="あり",MOD(A339,6)=0,C339-F339&gt;0),MIN(BonusAmount,C339-F339),0)</f>
      </c>
      <c r="H339" s="10">
        <f>MAX(C339-F339-G339,0)</f>
      </c>
      <c r="I339" s="10">
        <f>I338+D339+G339</f>
      </c>
      <c r="J339" s="10">
        <f>J338+E339</f>
      </c>
      <c r="K339" s="10">
        <f>K338+F339+G339</f>
      </c>
    </row>
    <row r="340" spans="1:11" x14ac:dyDescent="0.25">
      <c r="A340">
        <v>338</v>
      </c>
      <c r="B340">
        <f>INT((A340-1)/12)+1</f>
      </c>
      <c r="C340" s="10">
        <f>H339</f>
      </c>
      <c r="D340" s="10">
        <f>IF(C340&lt;=0,0,MIN(-PMT(InterestRate/12,LoanYears*12,LoanAmount),C340+E340))</f>
      </c>
      <c r="E340" s="10">
        <f>IF(C340&gt;0,C340*InterestRate/12,0)</f>
      </c>
      <c r="F340" s="10">
        <f>D340-E340</f>
      </c>
      <c r="G340" s="10">
        <f>IF(AND(BonusFlag="あり",MOD(A340,6)=0,C340-F340&gt;0),MIN(BonusAmount,C340-F340),0)</f>
      </c>
      <c r="H340" s="10">
        <f>MAX(C340-F340-G340,0)</f>
      </c>
      <c r="I340" s="10">
        <f>I339+D340+G340</f>
      </c>
      <c r="J340" s="10">
        <f>J339+E340</f>
      </c>
      <c r="K340" s="10">
        <f>K339+F340+G340</f>
      </c>
    </row>
    <row r="341" spans="1:11" x14ac:dyDescent="0.25">
      <c r="A341">
        <v>339</v>
      </c>
      <c r="B341">
        <f>INT((A341-1)/12)+1</f>
      </c>
      <c r="C341" s="10">
        <f>H340</f>
      </c>
      <c r="D341" s="10">
        <f>IF(C341&lt;=0,0,MIN(-PMT(InterestRate/12,LoanYears*12,LoanAmount),C341+E341))</f>
      </c>
      <c r="E341" s="10">
        <f>IF(C341&gt;0,C341*InterestRate/12,0)</f>
      </c>
      <c r="F341" s="10">
        <f>D341-E341</f>
      </c>
      <c r="G341" s="10">
        <f>IF(AND(BonusFlag="あり",MOD(A341,6)=0,C341-F341&gt;0),MIN(BonusAmount,C341-F341),0)</f>
      </c>
      <c r="H341" s="10">
        <f>MAX(C341-F341-G341,0)</f>
      </c>
      <c r="I341" s="10">
        <f>I340+D341+G341</f>
      </c>
      <c r="J341" s="10">
        <f>J340+E341</f>
      </c>
      <c r="K341" s="10">
        <f>K340+F341+G341</f>
      </c>
    </row>
    <row r="342" spans="1:11" x14ac:dyDescent="0.25">
      <c r="A342">
        <v>340</v>
      </c>
      <c r="B342">
        <f>INT((A342-1)/12)+1</f>
      </c>
      <c r="C342" s="10">
        <f>H341</f>
      </c>
      <c r="D342" s="10">
        <f>IF(C342&lt;=0,0,MIN(-PMT(InterestRate/12,LoanYears*12,LoanAmount),C342+E342))</f>
      </c>
      <c r="E342" s="10">
        <f>IF(C342&gt;0,C342*InterestRate/12,0)</f>
      </c>
      <c r="F342" s="10">
        <f>D342-E342</f>
      </c>
      <c r="G342" s="10">
        <f>IF(AND(BonusFlag="あり",MOD(A342,6)=0,C342-F342&gt;0),MIN(BonusAmount,C342-F342),0)</f>
      </c>
      <c r="H342" s="10">
        <f>MAX(C342-F342-G342,0)</f>
      </c>
      <c r="I342" s="10">
        <f>I341+D342+G342</f>
      </c>
      <c r="J342" s="10">
        <f>J341+E342</f>
      </c>
      <c r="K342" s="10">
        <f>K341+F342+G342</f>
      </c>
    </row>
    <row r="343" spans="1:11" x14ac:dyDescent="0.25">
      <c r="A343">
        <v>341</v>
      </c>
      <c r="B343">
        <f>INT((A343-1)/12)+1</f>
      </c>
      <c r="C343" s="10">
        <f>H342</f>
      </c>
      <c r="D343" s="10">
        <f>IF(C343&lt;=0,0,MIN(-PMT(InterestRate/12,LoanYears*12,LoanAmount),C343+E343))</f>
      </c>
      <c r="E343" s="10">
        <f>IF(C343&gt;0,C343*InterestRate/12,0)</f>
      </c>
      <c r="F343" s="10">
        <f>D343-E343</f>
      </c>
      <c r="G343" s="10">
        <f>IF(AND(BonusFlag="あり",MOD(A343,6)=0,C343-F343&gt;0),MIN(BonusAmount,C343-F343),0)</f>
      </c>
      <c r="H343" s="10">
        <f>MAX(C343-F343-G343,0)</f>
      </c>
      <c r="I343" s="10">
        <f>I342+D343+G343</f>
      </c>
      <c r="J343" s="10">
        <f>J342+E343</f>
      </c>
      <c r="K343" s="10">
        <f>K342+F343+G343</f>
      </c>
    </row>
    <row r="344" spans="1:11" x14ac:dyDescent="0.25">
      <c r="A344">
        <v>342</v>
      </c>
      <c r="B344">
        <f>INT((A344-1)/12)+1</f>
      </c>
      <c r="C344" s="10">
        <f>H343</f>
      </c>
      <c r="D344" s="10">
        <f>IF(C344&lt;=0,0,MIN(-PMT(InterestRate/12,LoanYears*12,LoanAmount),C344+E344))</f>
      </c>
      <c r="E344" s="10">
        <f>IF(C344&gt;0,C344*InterestRate/12,0)</f>
      </c>
      <c r="F344" s="10">
        <f>D344-E344</f>
      </c>
      <c r="G344" s="10">
        <f>IF(AND(BonusFlag="あり",MOD(A344,6)=0,C344-F344&gt;0),MIN(BonusAmount,C344-F344),0)</f>
      </c>
      <c r="H344" s="10">
        <f>MAX(C344-F344-G344,0)</f>
      </c>
      <c r="I344" s="10">
        <f>I343+D344+G344</f>
      </c>
      <c r="J344" s="10">
        <f>J343+E344</f>
      </c>
      <c r="K344" s="10">
        <f>K343+F344+G344</f>
      </c>
    </row>
    <row r="345" spans="1:11" x14ac:dyDescent="0.25">
      <c r="A345">
        <v>343</v>
      </c>
      <c r="B345">
        <f>INT((A345-1)/12)+1</f>
      </c>
      <c r="C345" s="10">
        <f>H344</f>
      </c>
      <c r="D345" s="10">
        <f>IF(C345&lt;=0,0,MIN(-PMT(InterestRate/12,LoanYears*12,LoanAmount),C345+E345))</f>
      </c>
      <c r="E345" s="10">
        <f>IF(C345&gt;0,C345*InterestRate/12,0)</f>
      </c>
      <c r="F345" s="10">
        <f>D345-E345</f>
      </c>
      <c r="G345" s="10">
        <f>IF(AND(BonusFlag="あり",MOD(A345,6)=0,C345-F345&gt;0),MIN(BonusAmount,C345-F345),0)</f>
      </c>
      <c r="H345" s="10">
        <f>MAX(C345-F345-G345,0)</f>
      </c>
      <c r="I345" s="10">
        <f>I344+D345+G345</f>
      </c>
      <c r="J345" s="10">
        <f>J344+E345</f>
      </c>
      <c r="K345" s="10">
        <f>K344+F345+G345</f>
      </c>
    </row>
    <row r="346" spans="1:11" x14ac:dyDescent="0.25">
      <c r="A346">
        <v>344</v>
      </c>
      <c r="B346">
        <f>INT((A346-1)/12)+1</f>
      </c>
      <c r="C346" s="10">
        <f>H345</f>
      </c>
      <c r="D346" s="10">
        <f>IF(C346&lt;=0,0,MIN(-PMT(InterestRate/12,LoanYears*12,LoanAmount),C346+E346))</f>
      </c>
      <c r="E346" s="10">
        <f>IF(C346&gt;0,C346*InterestRate/12,0)</f>
      </c>
      <c r="F346" s="10">
        <f>D346-E346</f>
      </c>
      <c r="G346" s="10">
        <f>IF(AND(BonusFlag="あり",MOD(A346,6)=0,C346-F346&gt;0),MIN(BonusAmount,C346-F346),0)</f>
      </c>
      <c r="H346" s="10">
        <f>MAX(C346-F346-G346,0)</f>
      </c>
      <c r="I346" s="10">
        <f>I345+D346+G346</f>
      </c>
      <c r="J346" s="10">
        <f>J345+E346</f>
      </c>
      <c r="K346" s="10">
        <f>K345+F346+G346</f>
      </c>
    </row>
    <row r="347" spans="1:11" x14ac:dyDescent="0.25">
      <c r="A347">
        <v>345</v>
      </c>
      <c r="B347">
        <f>INT((A347-1)/12)+1</f>
      </c>
      <c r="C347" s="10">
        <f>H346</f>
      </c>
      <c r="D347" s="10">
        <f>IF(C347&lt;=0,0,MIN(-PMT(InterestRate/12,LoanYears*12,LoanAmount),C347+E347))</f>
      </c>
      <c r="E347" s="10">
        <f>IF(C347&gt;0,C347*InterestRate/12,0)</f>
      </c>
      <c r="F347" s="10">
        <f>D347-E347</f>
      </c>
      <c r="G347" s="10">
        <f>IF(AND(BonusFlag="あり",MOD(A347,6)=0,C347-F347&gt;0),MIN(BonusAmount,C347-F347),0)</f>
      </c>
      <c r="H347" s="10">
        <f>MAX(C347-F347-G347,0)</f>
      </c>
      <c r="I347" s="10">
        <f>I346+D347+G347</f>
      </c>
      <c r="J347" s="10">
        <f>J346+E347</f>
      </c>
      <c r="K347" s="10">
        <f>K346+F347+G347</f>
      </c>
    </row>
    <row r="348" spans="1:11" x14ac:dyDescent="0.25">
      <c r="A348">
        <v>346</v>
      </c>
      <c r="B348">
        <f>INT((A348-1)/12)+1</f>
      </c>
      <c r="C348" s="10">
        <f>H347</f>
      </c>
      <c r="D348" s="10">
        <f>IF(C348&lt;=0,0,MIN(-PMT(InterestRate/12,LoanYears*12,LoanAmount),C348+E348))</f>
      </c>
      <c r="E348" s="10">
        <f>IF(C348&gt;0,C348*InterestRate/12,0)</f>
      </c>
      <c r="F348" s="10">
        <f>D348-E348</f>
      </c>
      <c r="G348" s="10">
        <f>IF(AND(BonusFlag="あり",MOD(A348,6)=0,C348-F348&gt;0),MIN(BonusAmount,C348-F348),0)</f>
      </c>
      <c r="H348" s="10">
        <f>MAX(C348-F348-G348,0)</f>
      </c>
      <c r="I348" s="10">
        <f>I347+D348+G348</f>
      </c>
      <c r="J348" s="10">
        <f>J347+E348</f>
      </c>
      <c r="K348" s="10">
        <f>K347+F348+G348</f>
      </c>
    </row>
    <row r="349" spans="1:11" x14ac:dyDescent="0.25">
      <c r="A349">
        <v>347</v>
      </c>
      <c r="B349">
        <f>INT((A349-1)/12)+1</f>
      </c>
      <c r="C349" s="10">
        <f>H348</f>
      </c>
      <c r="D349" s="10">
        <f>IF(C349&lt;=0,0,MIN(-PMT(InterestRate/12,LoanYears*12,LoanAmount),C349+E349))</f>
      </c>
      <c r="E349" s="10">
        <f>IF(C349&gt;0,C349*InterestRate/12,0)</f>
      </c>
      <c r="F349" s="10">
        <f>D349-E349</f>
      </c>
      <c r="G349" s="10">
        <f>IF(AND(BonusFlag="あり",MOD(A349,6)=0,C349-F349&gt;0),MIN(BonusAmount,C349-F349),0)</f>
      </c>
      <c r="H349" s="10">
        <f>MAX(C349-F349-G349,0)</f>
      </c>
      <c r="I349" s="10">
        <f>I348+D349+G349</f>
      </c>
      <c r="J349" s="10">
        <f>J348+E349</f>
      </c>
      <c r="K349" s="10">
        <f>K348+F349+G349</f>
      </c>
    </row>
    <row r="350" spans="1:11" x14ac:dyDescent="0.25">
      <c r="A350">
        <v>348</v>
      </c>
      <c r="B350">
        <f>INT((A350-1)/12)+1</f>
      </c>
      <c r="C350" s="10">
        <f>H349</f>
      </c>
      <c r="D350" s="10">
        <f>IF(C350&lt;=0,0,MIN(-PMT(InterestRate/12,LoanYears*12,LoanAmount),C350+E350))</f>
      </c>
      <c r="E350" s="10">
        <f>IF(C350&gt;0,C350*InterestRate/12,0)</f>
      </c>
      <c r="F350" s="10">
        <f>D350-E350</f>
      </c>
      <c r="G350" s="10">
        <f>IF(AND(BonusFlag="あり",MOD(A350,6)=0,C350-F350&gt;0),MIN(BonusAmount,C350-F350),0)</f>
      </c>
      <c r="H350" s="10">
        <f>MAX(C350-F350-G350,0)</f>
      </c>
      <c r="I350" s="10">
        <f>I349+D350+G350</f>
      </c>
      <c r="J350" s="10">
        <f>J349+E350</f>
      </c>
      <c r="K350" s="10">
        <f>K349+F350+G350</f>
      </c>
    </row>
    <row r="351" spans="1:11" x14ac:dyDescent="0.25">
      <c r="A351">
        <v>349</v>
      </c>
      <c r="B351">
        <f>INT((A351-1)/12)+1</f>
      </c>
      <c r="C351" s="10">
        <f>H350</f>
      </c>
      <c r="D351" s="10">
        <f>IF(C351&lt;=0,0,MIN(-PMT(InterestRate/12,LoanYears*12,LoanAmount),C351+E351))</f>
      </c>
      <c r="E351" s="10">
        <f>IF(C351&gt;0,C351*InterestRate/12,0)</f>
      </c>
      <c r="F351" s="10">
        <f>D351-E351</f>
      </c>
      <c r="G351" s="10">
        <f>IF(AND(BonusFlag="あり",MOD(A351,6)=0,C351-F351&gt;0),MIN(BonusAmount,C351-F351),0)</f>
      </c>
      <c r="H351" s="10">
        <f>MAX(C351-F351-G351,0)</f>
      </c>
      <c r="I351" s="10">
        <f>I350+D351+G351</f>
      </c>
      <c r="J351" s="10">
        <f>J350+E351</f>
      </c>
      <c r="K351" s="10">
        <f>K350+F351+G351</f>
      </c>
    </row>
    <row r="352" spans="1:11" x14ac:dyDescent="0.25">
      <c r="A352">
        <v>350</v>
      </c>
      <c r="B352">
        <f>INT((A352-1)/12)+1</f>
      </c>
      <c r="C352" s="10">
        <f>H351</f>
      </c>
      <c r="D352" s="10">
        <f>IF(C352&lt;=0,0,MIN(-PMT(InterestRate/12,LoanYears*12,LoanAmount),C352+E352))</f>
      </c>
      <c r="E352" s="10">
        <f>IF(C352&gt;0,C352*InterestRate/12,0)</f>
      </c>
      <c r="F352" s="10">
        <f>D352-E352</f>
      </c>
      <c r="G352" s="10">
        <f>IF(AND(BonusFlag="あり",MOD(A352,6)=0,C352-F352&gt;0),MIN(BonusAmount,C352-F352),0)</f>
      </c>
      <c r="H352" s="10">
        <f>MAX(C352-F352-G352,0)</f>
      </c>
      <c r="I352" s="10">
        <f>I351+D352+G352</f>
      </c>
      <c r="J352" s="10">
        <f>J351+E352</f>
      </c>
      <c r="K352" s="10">
        <f>K351+F352+G352</f>
      </c>
    </row>
    <row r="353" spans="1:11" x14ac:dyDescent="0.25">
      <c r="A353">
        <v>351</v>
      </c>
      <c r="B353">
        <f>INT((A353-1)/12)+1</f>
      </c>
      <c r="C353" s="10">
        <f>H352</f>
      </c>
      <c r="D353" s="10">
        <f>IF(C353&lt;=0,0,MIN(-PMT(InterestRate/12,LoanYears*12,LoanAmount),C353+E353))</f>
      </c>
      <c r="E353" s="10">
        <f>IF(C353&gt;0,C353*InterestRate/12,0)</f>
      </c>
      <c r="F353" s="10">
        <f>D353-E353</f>
      </c>
      <c r="G353" s="10">
        <f>IF(AND(BonusFlag="あり",MOD(A353,6)=0,C353-F353&gt;0),MIN(BonusAmount,C353-F353),0)</f>
      </c>
      <c r="H353" s="10">
        <f>MAX(C353-F353-G353,0)</f>
      </c>
      <c r="I353" s="10">
        <f>I352+D353+G353</f>
      </c>
      <c r="J353" s="10">
        <f>J352+E353</f>
      </c>
      <c r="K353" s="10">
        <f>K352+F353+G353</f>
      </c>
    </row>
    <row r="354" spans="1:11" x14ac:dyDescent="0.25">
      <c r="A354">
        <v>352</v>
      </c>
      <c r="B354">
        <f>INT((A354-1)/12)+1</f>
      </c>
      <c r="C354" s="10">
        <f>H353</f>
      </c>
      <c r="D354" s="10">
        <f>IF(C354&lt;=0,0,MIN(-PMT(InterestRate/12,LoanYears*12,LoanAmount),C354+E354))</f>
      </c>
      <c r="E354" s="10">
        <f>IF(C354&gt;0,C354*InterestRate/12,0)</f>
      </c>
      <c r="F354" s="10">
        <f>D354-E354</f>
      </c>
      <c r="G354" s="10">
        <f>IF(AND(BonusFlag="あり",MOD(A354,6)=0,C354-F354&gt;0),MIN(BonusAmount,C354-F354),0)</f>
      </c>
      <c r="H354" s="10">
        <f>MAX(C354-F354-G354,0)</f>
      </c>
      <c r="I354" s="10">
        <f>I353+D354+G354</f>
      </c>
      <c r="J354" s="10">
        <f>J353+E354</f>
      </c>
      <c r="K354" s="10">
        <f>K353+F354+G354</f>
      </c>
    </row>
    <row r="355" spans="1:11" x14ac:dyDescent="0.25">
      <c r="A355">
        <v>353</v>
      </c>
      <c r="B355">
        <f>INT((A355-1)/12)+1</f>
      </c>
      <c r="C355" s="10">
        <f>H354</f>
      </c>
      <c r="D355" s="10">
        <f>IF(C355&lt;=0,0,MIN(-PMT(InterestRate/12,LoanYears*12,LoanAmount),C355+E355))</f>
      </c>
      <c r="E355" s="10">
        <f>IF(C355&gt;0,C355*InterestRate/12,0)</f>
      </c>
      <c r="F355" s="10">
        <f>D355-E355</f>
      </c>
      <c r="G355" s="10">
        <f>IF(AND(BonusFlag="あり",MOD(A355,6)=0,C355-F355&gt;0),MIN(BonusAmount,C355-F355),0)</f>
      </c>
      <c r="H355" s="10">
        <f>MAX(C355-F355-G355,0)</f>
      </c>
      <c r="I355" s="10">
        <f>I354+D355+G355</f>
      </c>
      <c r="J355" s="10">
        <f>J354+E355</f>
      </c>
      <c r="K355" s="10">
        <f>K354+F355+G355</f>
      </c>
    </row>
    <row r="356" spans="1:11" x14ac:dyDescent="0.25">
      <c r="A356">
        <v>354</v>
      </c>
      <c r="B356">
        <f>INT((A356-1)/12)+1</f>
      </c>
      <c r="C356" s="10">
        <f>H355</f>
      </c>
      <c r="D356" s="10">
        <f>IF(C356&lt;=0,0,MIN(-PMT(InterestRate/12,LoanYears*12,LoanAmount),C356+E356))</f>
      </c>
      <c r="E356" s="10">
        <f>IF(C356&gt;0,C356*InterestRate/12,0)</f>
      </c>
      <c r="F356" s="10">
        <f>D356-E356</f>
      </c>
      <c r="G356" s="10">
        <f>IF(AND(BonusFlag="あり",MOD(A356,6)=0,C356-F356&gt;0),MIN(BonusAmount,C356-F356),0)</f>
      </c>
      <c r="H356" s="10">
        <f>MAX(C356-F356-G356,0)</f>
      </c>
      <c r="I356" s="10">
        <f>I355+D356+G356</f>
      </c>
      <c r="J356" s="10">
        <f>J355+E356</f>
      </c>
      <c r="K356" s="10">
        <f>K355+F356+G356</f>
      </c>
    </row>
    <row r="357" spans="1:11" x14ac:dyDescent="0.25">
      <c r="A357">
        <v>355</v>
      </c>
      <c r="B357">
        <f>INT((A357-1)/12)+1</f>
      </c>
      <c r="C357" s="10">
        <f>H356</f>
      </c>
      <c r="D357" s="10">
        <f>IF(C357&lt;=0,0,MIN(-PMT(InterestRate/12,LoanYears*12,LoanAmount),C357+E357))</f>
      </c>
      <c r="E357" s="10">
        <f>IF(C357&gt;0,C357*InterestRate/12,0)</f>
      </c>
      <c r="F357" s="10">
        <f>D357-E357</f>
      </c>
      <c r="G357" s="10">
        <f>IF(AND(BonusFlag="あり",MOD(A357,6)=0,C357-F357&gt;0),MIN(BonusAmount,C357-F357),0)</f>
      </c>
      <c r="H357" s="10">
        <f>MAX(C357-F357-G357,0)</f>
      </c>
      <c r="I357" s="10">
        <f>I356+D357+G357</f>
      </c>
      <c r="J357" s="10">
        <f>J356+E357</f>
      </c>
      <c r="K357" s="10">
        <f>K356+F357+G357</f>
      </c>
    </row>
    <row r="358" spans="1:11" x14ac:dyDescent="0.25">
      <c r="A358">
        <v>356</v>
      </c>
      <c r="B358">
        <f>INT((A358-1)/12)+1</f>
      </c>
      <c r="C358" s="10">
        <f>H357</f>
      </c>
      <c r="D358" s="10">
        <f>IF(C358&lt;=0,0,MIN(-PMT(InterestRate/12,LoanYears*12,LoanAmount),C358+E358))</f>
      </c>
      <c r="E358" s="10">
        <f>IF(C358&gt;0,C358*InterestRate/12,0)</f>
      </c>
      <c r="F358" s="10">
        <f>D358-E358</f>
      </c>
      <c r="G358" s="10">
        <f>IF(AND(BonusFlag="あり",MOD(A358,6)=0,C358-F358&gt;0),MIN(BonusAmount,C358-F358),0)</f>
      </c>
      <c r="H358" s="10">
        <f>MAX(C358-F358-G358,0)</f>
      </c>
      <c r="I358" s="10">
        <f>I357+D358+G358</f>
      </c>
      <c r="J358" s="10">
        <f>J357+E358</f>
      </c>
      <c r="K358" s="10">
        <f>K357+F358+G358</f>
      </c>
    </row>
    <row r="359" spans="1:11" x14ac:dyDescent="0.25">
      <c r="A359">
        <v>357</v>
      </c>
      <c r="B359">
        <f>INT((A359-1)/12)+1</f>
      </c>
      <c r="C359" s="10">
        <f>H358</f>
      </c>
      <c r="D359" s="10">
        <f>IF(C359&lt;=0,0,MIN(-PMT(InterestRate/12,LoanYears*12,LoanAmount),C359+E359))</f>
      </c>
      <c r="E359" s="10">
        <f>IF(C359&gt;0,C359*InterestRate/12,0)</f>
      </c>
      <c r="F359" s="10">
        <f>D359-E359</f>
      </c>
      <c r="G359" s="10">
        <f>IF(AND(BonusFlag="あり",MOD(A359,6)=0,C359-F359&gt;0),MIN(BonusAmount,C359-F359),0)</f>
      </c>
      <c r="H359" s="10">
        <f>MAX(C359-F359-G359,0)</f>
      </c>
      <c r="I359" s="10">
        <f>I358+D359+G359</f>
      </c>
      <c r="J359" s="10">
        <f>J358+E359</f>
      </c>
      <c r="K359" s="10">
        <f>K358+F359+G359</f>
      </c>
    </row>
    <row r="360" spans="1:11" x14ac:dyDescent="0.25">
      <c r="A360">
        <v>358</v>
      </c>
      <c r="B360">
        <f>INT((A360-1)/12)+1</f>
      </c>
      <c r="C360" s="10">
        <f>H359</f>
      </c>
      <c r="D360" s="10">
        <f>IF(C360&lt;=0,0,MIN(-PMT(InterestRate/12,LoanYears*12,LoanAmount),C360+E360))</f>
      </c>
      <c r="E360" s="10">
        <f>IF(C360&gt;0,C360*InterestRate/12,0)</f>
      </c>
      <c r="F360" s="10">
        <f>D360-E360</f>
      </c>
      <c r="G360" s="10">
        <f>IF(AND(BonusFlag="あり",MOD(A360,6)=0,C360-F360&gt;0),MIN(BonusAmount,C360-F360),0)</f>
      </c>
      <c r="H360" s="10">
        <f>MAX(C360-F360-G360,0)</f>
      </c>
      <c r="I360" s="10">
        <f>I359+D360+G360</f>
      </c>
      <c r="J360" s="10">
        <f>J359+E360</f>
      </c>
      <c r="K360" s="10">
        <f>K359+F360+G360</f>
      </c>
    </row>
    <row r="361" spans="1:11" x14ac:dyDescent="0.25">
      <c r="A361">
        <v>359</v>
      </c>
      <c r="B361">
        <f>INT((A361-1)/12)+1</f>
      </c>
      <c r="C361" s="10">
        <f>H360</f>
      </c>
      <c r="D361" s="10">
        <f>IF(C361&lt;=0,0,MIN(-PMT(InterestRate/12,LoanYears*12,LoanAmount),C361+E361))</f>
      </c>
      <c r="E361" s="10">
        <f>IF(C361&gt;0,C361*InterestRate/12,0)</f>
      </c>
      <c r="F361" s="10">
        <f>D361-E361</f>
      </c>
      <c r="G361" s="10">
        <f>IF(AND(BonusFlag="あり",MOD(A361,6)=0,C361-F361&gt;0),MIN(BonusAmount,C361-F361),0)</f>
      </c>
      <c r="H361" s="10">
        <f>MAX(C361-F361-G361,0)</f>
      </c>
      <c r="I361" s="10">
        <f>I360+D361+G361</f>
      </c>
      <c r="J361" s="10">
        <f>J360+E361</f>
      </c>
      <c r="K361" s="10">
        <f>K360+F361+G361</f>
      </c>
    </row>
    <row r="362" spans="1:11" x14ac:dyDescent="0.25">
      <c r="A362">
        <v>360</v>
      </c>
      <c r="B362">
        <f>INT((A362-1)/12)+1</f>
      </c>
      <c r="C362" s="10">
        <f>H361</f>
      </c>
      <c r="D362" s="10">
        <f>IF(C362&lt;=0,0,MIN(-PMT(InterestRate/12,LoanYears*12,LoanAmount),C362+E362))</f>
      </c>
      <c r="E362" s="10">
        <f>IF(C362&gt;0,C362*InterestRate/12,0)</f>
      </c>
      <c r="F362" s="10">
        <f>D362-E362</f>
      </c>
      <c r="G362" s="10">
        <f>IF(AND(BonusFlag="あり",MOD(A362,6)=0,C362-F362&gt;0),MIN(BonusAmount,C362-F362),0)</f>
      </c>
      <c r="H362" s="10">
        <f>MAX(C362-F362-G362,0)</f>
      </c>
      <c r="I362" s="10">
        <f>I361+D362+G362</f>
      </c>
      <c r="J362" s="10">
        <f>J361+E362</f>
      </c>
      <c r="K362" s="10">
        <f>K361+F362+G362</f>
      </c>
    </row>
    <row r="363" spans="1:11" x14ac:dyDescent="0.25">
      <c r="A363">
        <v>361</v>
      </c>
      <c r="B363">
        <f>INT((A363-1)/12)+1</f>
      </c>
      <c r="C363" s="10">
        <f>H362</f>
      </c>
      <c r="D363" s="10">
        <f>IF(C363&lt;=0,0,MIN(-PMT(InterestRate/12,LoanYears*12,LoanAmount),C363+E363))</f>
      </c>
      <c r="E363" s="10">
        <f>IF(C363&gt;0,C363*InterestRate/12,0)</f>
      </c>
      <c r="F363" s="10">
        <f>D363-E363</f>
      </c>
      <c r="G363" s="10">
        <f>IF(AND(BonusFlag="あり",MOD(A363,6)=0,C363-F363&gt;0),MIN(BonusAmount,C363-F363),0)</f>
      </c>
      <c r="H363" s="10">
        <f>MAX(C363-F363-G363,0)</f>
      </c>
      <c r="I363" s="10">
        <f>I362+D363+G363</f>
      </c>
      <c r="J363" s="10">
        <f>J362+E363</f>
      </c>
      <c r="K363" s="10">
        <f>K362+F363+G363</f>
      </c>
    </row>
    <row r="364" spans="1:11" x14ac:dyDescent="0.25">
      <c r="A364">
        <v>362</v>
      </c>
      <c r="B364">
        <f>INT((A364-1)/12)+1</f>
      </c>
      <c r="C364" s="10">
        <f>H363</f>
      </c>
      <c r="D364" s="10">
        <f>IF(C364&lt;=0,0,MIN(-PMT(InterestRate/12,LoanYears*12,LoanAmount),C364+E364))</f>
      </c>
      <c r="E364" s="10">
        <f>IF(C364&gt;0,C364*InterestRate/12,0)</f>
      </c>
      <c r="F364" s="10">
        <f>D364-E364</f>
      </c>
      <c r="G364" s="10">
        <f>IF(AND(BonusFlag="あり",MOD(A364,6)=0,C364-F364&gt;0),MIN(BonusAmount,C364-F364),0)</f>
      </c>
      <c r="H364" s="10">
        <f>MAX(C364-F364-G364,0)</f>
      </c>
      <c r="I364" s="10">
        <f>I363+D364+G364</f>
      </c>
      <c r="J364" s="10">
        <f>J363+E364</f>
      </c>
      <c r="K364" s="10">
        <f>K363+F364+G364</f>
      </c>
    </row>
    <row r="365" spans="1:11" x14ac:dyDescent="0.25">
      <c r="A365">
        <v>363</v>
      </c>
      <c r="B365">
        <f>INT((A365-1)/12)+1</f>
      </c>
      <c r="C365" s="10">
        <f>H364</f>
      </c>
      <c r="D365" s="10">
        <f>IF(C365&lt;=0,0,MIN(-PMT(InterestRate/12,LoanYears*12,LoanAmount),C365+E365))</f>
      </c>
      <c r="E365" s="10">
        <f>IF(C365&gt;0,C365*InterestRate/12,0)</f>
      </c>
      <c r="F365" s="10">
        <f>D365-E365</f>
      </c>
      <c r="G365" s="10">
        <f>IF(AND(BonusFlag="あり",MOD(A365,6)=0,C365-F365&gt;0),MIN(BonusAmount,C365-F365),0)</f>
      </c>
      <c r="H365" s="10">
        <f>MAX(C365-F365-G365,0)</f>
      </c>
      <c r="I365" s="10">
        <f>I364+D365+G365</f>
      </c>
      <c r="J365" s="10">
        <f>J364+E365</f>
      </c>
      <c r="K365" s="10">
        <f>K364+F365+G365</f>
      </c>
    </row>
    <row r="366" spans="1:11" x14ac:dyDescent="0.25">
      <c r="A366">
        <v>364</v>
      </c>
      <c r="B366">
        <f>INT((A366-1)/12)+1</f>
      </c>
      <c r="C366" s="10">
        <f>H365</f>
      </c>
      <c r="D366" s="10">
        <f>IF(C366&lt;=0,0,MIN(-PMT(InterestRate/12,LoanYears*12,LoanAmount),C366+E366))</f>
      </c>
      <c r="E366" s="10">
        <f>IF(C366&gt;0,C366*InterestRate/12,0)</f>
      </c>
      <c r="F366" s="10">
        <f>D366-E366</f>
      </c>
      <c r="G366" s="10">
        <f>IF(AND(BonusFlag="あり",MOD(A366,6)=0,C366-F366&gt;0),MIN(BonusAmount,C366-F366),0)</f>
      </c>
      <c r="H366" s="10">
        <f>MAX(C366-F366-G366,0)</f>
      </c>
      <c r="I366" s="10">
        <f>I365+D366+G366</f>
      </c>
      <c r="J366" s="10">
        <f>J365+E366</f>
      </c>
      <c r="K366" s="10">
        <f>K365+F366+G366</f>
      </c>
    </row>
    <row r="367" spans="1:11" x14ac:dyDescent="0.25">
      <c r="A367">
        <v>365</v>
      </c>
      <c r="B367">
        <f>INT((A367-1)/12)+1</f>
      </c>
      <c r="C367" s="10">
        <f>H366</f>
      </c>
      <c r="D367" s="10">
        <f>IF(C367&lt;=0,0,MIN(-PMT(InterestRate/12,LoanYears*12,LoanAmount),C367+E367))</f>
      </c>
      <c r="E367" s="10">
        <f>IF(C367&gt;0,C367*InterestRate/12,0)</f>
      </c>
      <c r="F367" s="10">
        <f>D367-E367</f>
      </c>
      <c r="G367" s="10">
        <f>IF(AND(BonusFlag="あり",MOD(A367,6)=0,C367-F367&gt;0),MIN(BonusAmount,C367-F367),0)</f>
      </c>
      <c r="H367" s="10">
        <f>MAX(C367-F367-G367,0)</f>
      </c>
      <c r="I367" s="10">
        <f>I366+D367+G367</f>
      </c>
      <c r="J367" s="10">
        <f>J366+E367</f>
      </c>
      <c r="K367" s="10">
        <f>K366+F367+G367</f>
      </c>
    </row>
    <row r="368" spans="1:11" x14ac:dyDescent="0.25">
      <c r="A368">
        <v>366</v>
      </c>
      <c r="B368">
        <f>INT((A368-1)/12)+1</f>
      </c>
      <c r="C368" s="10">
        <f>H367</f>
      </c>
      <c r="D368" s="10">
        <f>IF(C368&lt;=0,0,MIN(-PMT(InterestRate/12,LoanYears*12,LoanAmount),C368+E368))</f>
      </c>
      <c r="E368" s="10">
        <f>IF(C368&gt;0,C368*InterestRate/12,0)</f>
      </c>
      <c r="F368" s="10">
        <f>D368-E368</f>
      </c>
      <c r="G368" s="10">
        <f>IF(AND(BonusFlag="あり",MOD(A368,6)=0,C368-F368&gt;0),MIN(BonusAmount,C368-F368),0)</f>
      </c>
      <c r="H368" s="10">
        <f>MAX(C368-F368-G368,0)</f>
      </c>
      <c r="I368" s="10">
        <f>I367+D368+G368</f>
      </c>
      <c r="J368" s="10">
        <f>J367+E368</f>
      </c>
      <c r="K368" s="10">
        <f>K367+F368+G368</f>
      </c>
    </row>
    <row r="369" spans="1:11" x14ac:dyDescent="0.25">
      <c r="A369">
        <v>367</v>
      </c>
      <c r="B369">
        <f>INT((A369-1)/12)+1</f>
      </c>
      <c r="C369" s="10">
        <f>H368</f>
      </c>
      <c r="D369" s="10">
        <f>IF(C369&lt;=0,0,MIN(-PMT(InterestRate/12,LoanYears*12,LoanAmount),C369+E369))</f>
      </c>
      <c r="E369" s="10">
        <f>IF(C369&gt;0,C369*InterestRate/12,0)</f>
      </c>
      <c r="F369" s="10">
        <f>D369-E369</f>
      </c>
      <c r="G369" s="10">
        <f>IF(AND(BonusFlag="あり",MOD(A369,6)=0,C369-F369&gt;0),MIN(BonusAmount,C369-F369),0)</f>
      </c>
      <c r="H369" s="10">
        <f>MAX(C369-F369-G369,0)</f>
      </c>
      <c r="I369" s="10">
        <f>I368+D369+G369</f>
      </c>
      <c r="J369" s="10">
        <f>J368+E369</f>
      </c>
      <c r="K369" s="10">
        <f>K368+F369+G369</f>
      </c>
    </row>
    <row r="370" spans="1:11" x14ac:dyDescent="0.25">
      <c r="A370">
        <v>368</v>
      </c>
      <c r="B370">
        <f>INT((A370-1)/12)+1</f>
      </c>
      <c r="C370" s="10">
        <f>H369</f>
      </c>
      <c r="D370" s="10">
        <f>IF(C370&lt;=0,0,MIN(-PMT(InterestRate/12,LoanYears*12,LoanAmount),C370+E370))</f>
      </c>
      <c r="E370" s="10">
        <f>IF(C370&gt;0,C370*InterestRate/12,0)</f>
      </c>
      <c r="F370" s="10">
        <f>D370-E370</f>
      </c>
      <c r="G370" s="10">
        <f>IF(AND(BonusFlag="あり",MOD(A370,6)=0,C370-F370&gt;0),MIN(BonusAmount,C370-F370),0)</f>
      </c>
      <c r="H370" s="10">
        <f>MAX(C370-F370-G370,0)</f>
      </c>
      <c r="I370" s="10">
        <f>I369+D370+G370</f>
      </c>
      <c r="J370" s="10">
        <f>J369+E370</f>
      </c>
      <c r="K370" s="10">
        <f>K369+F370+G370</f>
      </c>
    </row>
    <row r="371" spans="1:11" x14ac:dyDescent="0.25">
      <c r="A371">
        <v>369</v>
      </c>
      <c r="B371">
        <f>INT((A371-1)/12)+1</f>
      </c>
      <c r="C371" s="10">
        <f>H370</f>
      </c>
      <c r="D371" s="10">
        <f>IF(C371&lt;=0,0,MIN(-PMT(InterestRate/12,LoanYears*12,LoanAmount),C371+E371))</f>
      </c>
      <c r="E371" s="10">
        <f>IF(C371&gt;0,C371*InterestRate/12,0)</f>
      </c>
      <c r="F371" s="10">
        <f>D371-E371</f>
      </c>
      <c r="G371" s="10">
        <f>IF(AND(BonusFlag="あり",MOD(A371,6)=0,C371-F371&gt;0),MIN(BonusAmount,C371-F371),0)</f>
      </c>
      <c r="H371" s="10">
        <f>MAX(C371-F371-G371,0)</f>
      </c>
      <c r="I371" s="10">
        <f>I370+D371+G371</f>
      </c>
      <c r="J371" s="10">
        <f>J370+E371</f>
      </c>
      <c r="K371" s="10">
        <f>K370+F371+G371</f>
      </c>
    </row>
    <row r="372" spans="1:11" x14ac:dyDescent="0.25">
      <c r="A372">
        <v>370</v>
      </c>
      <c r="B372">
        <f>INT((A372-1)/12)+1</f>
      </c>
      <c r="C372" s="10">
        <f>H371</f>
      </c>
      <c r="D372" s="10">
        <f>IF(C372&lt;=0,0,MIN(-PMT(InterestRate/12,LoanYears*12,LoanAmount),C372+E372))</f>
      </c>
      <c r="E372" s="10">
        <f>IF(C372&gt;0,C372*InterestRate/12,0)</f>
      </c>
      <c r="F372" s="10">
        <f>D372-E372</f>
      </c>
      <c r="G372" s="10">
        <f>IF(AND(BonusFlag="あり",MOD(A372,6)=0,C372-F372&gt;0),MIN(BonusAmount,C372-F372),0)</f>
      </c>
      <c r="H372" s="10">
        <f>MAX(C372-F372-G372,0)</f>
      </c>
      <c r="I372" s="10">
        <f>I371+D372+G372</f>
      </c>
      <c r="J372" s="10">
        <f>J371+E372</f>
      </c>
      <c r="K372" s="10">
        <f>K371+F372+G372</f>
      </c>
    </row>
    <row r="373" spans="1:11" x14ac:dyDescent="0.25">
      <c r="A373">
        <v>371</v>
      </c>
      <c r="B373">
        <f>INT((A373-1)/12)+1</f>
      </c>
      <c r="C373" s="10">
        <f>H372</f>
      </c>
      <c r="D373" s="10">
        <f>IF(C373&lt;=0,0,MIN(-PMT(InterestRate/12,LoanYears*12,LoanAmount),C373+E373))</f>
      </c>
      <c r="E373" s="10">
        <f>IF(C373&gt;0,C373*InterestRate/12,0)</f>
      </c>
      <c r="F373" s="10">
        <f>D373-E373</f>
      </c>
      <c r="G373" s="10">
        <f>IF(AND(BonusFlag="あり",MOD(A373,6)=0,C373-F373&gt;0),MIN(BonusAmount,C373-F373),0)</f>
      </c>
      <c r="H373" s="10">
        <f>MAX(C373-F373-G373,0)</f>
      </c>
      <c r="I373" s="10">
        <f>I372+D373+G373</f>
      </c>
      <c r="J373" s="10">
        <f>J372+E373</f>
      </c>
      <c r="K373" s="10">
        <f>K372+F373+G373</f>
      </c>
    </row>
    <row r="374" spans="1:11" x14ac:dyDescent="0.25">
      <c r="A374">
        <v>372</v>
      </c>
      <c r="B374">
        <f>INT((A374-1)/12)+1</f>
      </c>
      <c r="C374" s="10">
        <f>H373</f>
      </c>
      <c r="D374" s="10">
        <f>IF(C374&lt;=0,0,MIN(-PMT(InterestRate/12,LoanYears*12,LoanAmount),C374+E374))</f>
      </c>
      <c r="E374" s="10">
        <f>IF(C374&gt;0,C374*InterestRate/12,0)</f>
      </c>
      <c r="F374" s="10">
        <f>D374-E374</f>
      </c>
      <c r="G374" s="10">
        <f>IF(AND(BonusFlag="あり",MOD(A374,6)=0,C374-F374&gt;0),MIN(BonusAmount,C374-F374),0)</f>
      </c>
      <c r="H374" s="10">
        <f>MAX(C374-F374-G374,0)</f>
      </c>
      <c r="I374" s="10">
        <f>I373+D374+G374</f>
      </c>
      <c r="J374" s="10">
        <f>J373+E374</f>
      </c>
      <c r="K374" s="10">
        <f>K373+F374+G374</f>
      </c>
    </row>
    <row r="375" spans="1:11" x14ac:dyDescent="0.25">
      <c r="A375">
        <v>373</v>
      </c>
      <c r="B375">
        <f>INT((A375-1)/12)+1</f>
      </c>
      <c r="C375" s="10">
        <f>H374</f>
      </c>
      <c r="D375" s="10">
        <f>IF(C375&lt;=0,0,MIN(-PMT(InterestRate/12,LoanYears*12,LoanAmount),C375+E375))</f>
      </c>
      <c r="E375" s="10">
        <f>IF(C375&gt;0,C375*InterestRate/12,0)</f>
      </c>
      <c r="F375" s="10">
        <f>D375-E375</f>
      </c>
      <c r="G375" s="10">
        <f>IF(AND(BonusFlag="あり",MOD(A375,6)=0,C375-F375&gt;0),MIN(BonusAmount,C375-F375),0)</f>
      </c>
      <c r="H375" s="10">
        <f>MAX(C375-F375-G375,0)</f>
      </c>
      <c r="I375" s="10">
        <f>I374+D375+G375</f>
      </c>
      <c r="J375" s="10">
        <f>J374+E375</f>
      </c>
      <c r="K375" s="10">
        <f>K374+F375+G375</f>
      </c>
    </row>
    <row r="376" spans="1:11" x14ac:dyDescent="0.25">
      <c r="A376">
        <v>374</v>
      </c>
      <c r="B376">
        <f>INT((A376-1)/12)+1</f>
      </c>
      <c r="C376" s="10">
        <f>H375</f>
      </c>
      <c r="D376" s="10">
        <f>IF(C376&lt;=0,0,MIN(-PMT(InterestRate/12,LoanYears*12,LoanAmount),C376+E376))</f>
      </c>
      <c r="E376" s="10">
        <f>IF(C376&gt;0,C376*InterestRate/12,0)</f>
      </c>
      <c r="F376" s="10">
        <f>D376-E376</f>
      </c>
      <c r="G376" s="10">
        <f>IF(AND(BonusFlag="あり",MOD(A376,6)=0,C376-F376&gt;0),MIN(BonusAmount,C376-F376),0)</f>
      </c>
      <c r="H376" s="10">
        <f>MAX(C376-F376-G376,0)</f>
      </c>
      <c r="I376" s="10">
        <f>I375+D376+G376</f>
      </c>
      <c r="J376" s="10">
        <f>J375+E376</f>
      </c>
      <c r="K376" s="10">
        <f>K375+F376+G376</f>
      </c>
    </row>
    <row r="377" spans="1:11" x14ac:dyDescent="0.25">
      <c r="A377">
        <v>375</v>
      </c>
      <c r="B377">
        <f>INT((A377-1)/12)+1</f>
      </c>
      <c r="C377" s="10">
        <f>H376</f>
      </c>
      <c r="D377" s="10">
        <f>IF(C377&lt;=0,0,MIN(-PMT(InterestRate/12,LoanYears*12,LoanAmount),C377+E377))</f>
      </c>
      <c r="E377" s="10">
        <f>IF(C377&gt;0,C377*InterestRate/12,0)</f>
      </c>
      <c r="F377" s="10">
        <f>D377-E377</f>
      </c>
      <c r="G377" s="10">
        <f>IF(AND(BonusFlag="あり",MOD(A377,6)=0,C377-F377&gt;0),MIN(BonusAmount,C377-F377),0)</f>
      </c>
      <c r="H377" s="10">
        <f>MAX(C377-F377-G377,0)</f>
      </c>
      <c r="I377" s="10">
        <f>I376+D377+G377</f>
      </c>
      <c r="J377" s="10">
        <f>J376+E377</f>
      </c>
      <c r="K377" s="10">
        <f>K376+F377+G377</f>
      </c>
    </row>
    <row r="378" spans="1:11" x14ac:dyDescent="0.25">
      <c r="A378">
        <v>376</v>
      </c>
      <c r="B378">
        <f>INT((A378-1)/12)+1</f>
      </c>
      <c r="C378" s="10">
        <f>H377</f>
      </c>
      <c r="D378" s="10">
        <f>IF(C378&lt;=0,0,MIN(-PMT(InterestRate/12,LoanYears*12,LoanAmount),C378+E378))</f>
      </c>
      <c r="E378" s="10">
        <f>IF(C378&gt;0,C378*InterestRate/12,0)</f>
      </c>
      <c r="F378" s="10">
        <f>D378-E378</f>
      </c>
      <c r="G378" s="10">
        <f>IF(AND(BonusFlag="あり",MOD(A378,6)=0,C378-F378&gt;0),MIN(BonusAmount,C378-F378),0)</f>
      </c>
      <c r="H378" s="10">
        <f>MAX(C378-F378-G378,0)</f>
      </c>
      <c r="I378" s="10">
        <f>I377+D378+G378</f>
      </c>
      <c r="J378" s="10">
        <f>J377+E378</f>
      </c>
      <c r="K378" s="10">
        <f>K377+F378+G378</f>
      </c>
    </row>
    <row r="379" spans="1:11" x14ac:dyDescent="0.25">
      <c r="A379">
        <v>377</v>
      </c>
      <c r="B379">
        <f>INT((A379-1)/12)+1</f>
      </c>
      <c r="C379" s="10">
        <f>H378</f>
      </c>
      <c r="D379" s="10">
        <f>IF(C379&lt;=0,0,MIN(-PMT(InterestRate/12,LoanYears*12,LoanAmount),C379+E379))</f>
      </c>
      <c r="E379" s="10">
        <f>IF(C379&gt;0,C379*InterestRate/12,0)</f>
      </c>
      <c r="F379" s="10">
        <f>D379-E379</f>
      </c>
      <c r="G379" s="10">
        <f>IF(AND(BonusFlag="あり",MOD(A379,6)=0,C379-F379&gt;0),MIN(BonusAmount,C379-F379),0)</f>
      </c>
      <c r="H379" s="10">
        <f>MAX(C379-F379-G379,0)</f>
      </c>
      <c r="I379" s="10">
        <f>I378+D379+G379</f>
      </c>
      <c r="J379" s="10">
        <f>J378+E379</f>
      </c>
      <c r="K379" s="10">
        <f>K378+F379+G379</f>
      </c>
    </row>
    <row r="380" spans="1:11" x14ac:dyDescent="0.25">
      <c r="A380">
        <v>378</v>
      </c>
      <c r="B380">
        <f>INT((A380-1)/12)+1</f>
      </c>
      <c r="C380" s="10">
        <f>H379</f>
      </c>
      <c r="D380" s="10">
        <f>IF(C380&lt;=0,0,MIN(-PMT(InterestRate/12,LoanYears*12,LoanAmount),C380+E380))</f>
      </c>
      <c r="E380" s="10">
        <f>IF(C380&gt;0,C380*InterestRate/12,0)</f>
      </c>
      <c r="F380" s="10">
        <f>D380-E380</f>
      </c>
      <c r="G380" s="10">
        <f>IF(AND(BonusFlag="あり",MOD(A380,6)=0,C380-F380&gt;0),MIN(BonusAmount,C380-F380),0)</f>
      </c>
      <c r="H380" s="10">
        <f>MAX(C380-F380-G380,0)</f>
      </c>
      <c r="I380" s="10">
        <f>I379+D380+G380</f>
      </c>
      <c r="J380" s="10">
        <f>J379+E380</f>
      </c>
      <c r="K380" s="10">
        <f>K379+F380+G380</f>
      </c>
    </row>
    <row r="381" spans="1:11" x14ac:dyDescent="0.25">
      <c r="A381">
        <v>379</v>
      </c>
      <c r="B381">
        <f>INT((A381-1)/12)+1</f>
      </c>
      <c r="C381" s="10">
        <f>H380</f>
      </c>
      <c r="D381" s="10">
        <f>IF(C381&lt;=0,0,MIN(-PMT(InterestRate/12,LoanYears*12,LoanAmount),C381+E381))</f>
      </c>
      <c r="E381" s="10">
        <f>IF(C381&gt;0,C381*InterestRate/12,0)</f>
      </c>
      <c r="F381" s="10">
        <f>D381-E381</f>
      </c>
      <c r="G381" s="10">
        <f>IF(AND(BonusFlag="あり",MOD(A381,6)=0,C381-F381&gt;0),MIN(BonusAmount,C381-F381),0)</f>
      </c>
      <c r="H381" s="10">
        <f>MAX(C381-F381-G381,0)</f>
      </c>
      <c r="I381" s="10">
        <f>I380+D381+G381</f>
      </c>
      <c r="J381" s="10">
        <f>J380+E381</f>
      </c>
      <c r="K381" s="10">
        <f>K380+F381+G381</f>
      </c>
    </row>
    <row r="382" spans="1:11" x14ac:dyDescent="0.25">
      <c r="A382">
        <v>380</v>
      </c>
      <c r="B382">
        <f>INT((A382-1)/12)+1</f>
      </c>
      <c r="C382" s="10">
        <f>H381</f>
      </c>
      <c r="D382" s="10">
        <f>IF(C382&lt;=0,0,MIN(-PMT(InterestRate/12,LoanYears*12,LoanAmount),C382+E382))</f>
      </c>
      <c r="E382" s="10">
        <f>IF(C382&gt;0,C382*InterestRate/12,0)</f>
      </c>
      <c r="F382" s="10">
        <f>D382-E382</f>
      </c>
      <c r="G382" s="10">
        <f>IF(AND(BonusFlag="あり",MOD(A382,6)=0,C382-F382&gt;0),MIN(BonusAmount,C382-F382),0)</f>
      </c>
      <c r="H382" s="10">
        <f>MAX(C382-F382-G382,0)</f>
      </c>
      <c r="I382" s="10">
        <f>I381+D382+G382</f>
      </c>
      <c r="J382" s="10">
        <f>J381+E382</f>
      </c>
      <c r="K382" s="10">
        <f>K381+F382+G382</f>
      </c>
    </row>
    <row r="383" spans="1:11" x14ac:dyDescent="0.25">
      <c r="A383">
        <v>381</v>
      </c>
      <c r="B383">
        <f>INT((A383-1)/12)+1</f>
      </c>
      <c r="C383" s="10">
        <f>H382</f>
      </c>
      <c r="D383" s="10">
        <f>IF(C383&lt;=0,0,MIN(-PMT(InterestRate/12,LoanYears*12,LoanAmount),C383+E383))</f>
      </c>
      <c r="E383" s="10">
        <f>IF(C383&gt;0,C383*InterestRate/12,0)</f>
      </c>
      <c r="F383" s="10">
        <f>D383-E383</f>
      </c>
      <c r="G383" s="10">
        <f>IF(AND(BonusFlag="あり",MOD(A383,6)=0,C383-F383&gt;0),MIN(BonusAmount,C383-F383),0)</f>
      </c>
      <c r="H383" s="10">
        <f>MAX(C383-F383-G383,0)</f>
      </c>
      <c r="I383" s="10">
        <f>I382+D383+G383</f>
      </c>
      <c r="J383" s="10">
        <f>J382+E383</f>
      </c>
      <c r="K383" s="10">
        <f>K382+F383+G383</f>
      </c>
    </row>
    <row r="384" spans="1:11" x14ac:dyDescent="0.25">
      <c r="A384">
        <v>382</v>
      </c>
      <c r="B384">
        <f>INT((A384-1)/12)+1</f>
      </c>
      <c r="C384" s="10">
        <f>H383</f>
      </c>
      <c r="D384" s="10">
        <f>IF(C384&lt;=0,0,MIN(-PMT(InterestRate/12,LoanYears*12,LoanAmount),C384+E384))</f>
      </c>
      <c r="E384" s="10">
        <f>IF(C384&gt;0,C384*InterestRate/12,0)</f>
      </c>
      <c r="F384" s="10">
        <f>D384-E384</f>
      </c>
      <c r="G384" s="10">
        <f>IF(AND(BonusFlag="あり",MOD(A384,6)=0,C384-F384&gt;0),MIN(BonusAmount,C384-F384),0)</f>
      </c>
      <c r="H384" s="10">
        <f>MAX(C384-F384-G384,0)</f>
      </c>
      <c r="I384" s="10">
        <f>I383+D384+G384</f>
      </c>
      <c r="J384" s="10">
        <f>J383+E384</f>
      </c>
      <c r="K384" s="10">
        <f>K383+F384+G384</f>
      </c>
    </row>
    <row r="385" spans="1:11" x14ac:dyDescent="0.25">
      <c r="A385">
        <v>383</v>
      </c>
      <c r="B385">
        <f>INT((A385-1)/12)+1</f>
      </c>
      <c r="C385" s="10">
        <f>H384</f>
      </c>
      <c r="D385" s="10">
        <f>IF(C385&lt;=0,0,MIN(-PMT(InterestRate/12,LoanYears*12,LoanAmount),C385+E385))</f>
      </c>
      <c r="E385" s="10">
        <f>IF(C385&gt;0,C385*InterestRate/12,0)</f>
      </c>
      <c r="F385" s="10">
        <f>D385-E385</f>
      </c>
      <c r="G385" s="10">
        <f>IF(AND(BonusFlag="あり",MOD(A385,6)=0,C385-F385&gt;0),MIN(BonusAmount,C385-F385),0)</f>
      </c>
      <c r="H385" s="10">
        <f>MAX(C385-F385-G385,0)</f>
      </c>
      <c r="I385" s="10">
        <f>I384+D385+G385</f>
      </c>
      <c r="J385" s="10">
        <f>J384+E385</f>
      </c>
      <c r="K385" s="10">
        <f>K384+F385+G385</f>
      </c>
    </row>
    <row r="386" spans="1:11" x14ac:dyDescent="0.25">
      <c r="A386">
        <v>384</v>
      </c>
      <c r="B386">
        <f>INT((A386-1)/12)+1</f>
      </c>
      <c r="C386" s="10">
        <f>H385</f>
      </c>
      <c r="D386" s="10">
        <f>IF(C386&lt;=0,0,MIN(-PMT(InterestRate/12,LoanYears*12,LoanAmount),C386+E386))</f>
      </c>
      <c r="E386" s="10">
        <f>IF(C386&gt;0,C386*InterestRate/12,0)</f>
      </c>
      <c r="F386" s="10">
        <f>D386-E386</f>
      </c>
      <c r="G386" s="10">
        <f>IF(AND(BonusFlag="あり",MOD(A386,6)=0,C386-F386&gt;0),MIN(BonusAmount,C386-F386),0)</f>
      </c>
      <c r="H386" s="10">
        <f>MAX(C386-F386-G386,0)</f>
      </c>
      <c r="I386" s="10">
        <f>I385+D386+G386</f>
      </c>
      <c r="J386" s="10">
        <f>J385+E386</f>
      </c>
      <c r="K386" s="10">
        <f>K385+F386+G386</f>
      </c>
    </row>
    <row r="387" spans="1:11" x14ac:dyDescent="0.25">
      <c r="A387">
        <v>385</v>
      </c>
      <c r="B387">
        <f>INT((A387-1)/12)+1</f>
      </c>
      <c r="C387" s="10">
        <f>H386</f>
      </c>
      <c r="D387" s="10">
        <f>IF(C387&lt;=0,0,MIN(-PMT(InterestRate/12,LoanYears*12,LoanAmount),C387+E387))</f>
      </c>
      <c r="E387" s="10">
        <f>IF(C387&gt;0,C387*InterestRate/12,0)</f>
      </c>
      <c r="F387" s="10">
        <f>D387-E387</f>
      </c>
      <c r="G387" s="10">
        <f>IF(AND(BonusFlag="あり",MOD(A387,6)=0,C387-F387&gt;0),MIN(BonusAmount,C387-F387),0)</f>
      </c>
      <c r="H387" s="10">
        <f>MAX(C387-F387-G387,0)</f>
      </c>
      <c r="I387" s="10">
        <f>I386+D387+G387</f>
      </c>
      <c r="J387" s="10">
        <f>J386+E387</f>
      </c>
      <c r="K387" s="10">
        <f>K386+F387+G387</f>
      </c>
    </row>
    <row r="388" spans="1:11" x14ac:dyDescent="0.25">
      <c r="A388">
        <v>386</v>
      </c>
      <c r="B388">
        <f>INT((A388-1)/12)+1</f>
      </c>
      <c r="C388" s="10">
        <f>H387</f>
      </c>
      <c r="D388" s="10">
        <f>IF(C388&lt;=0,0,MIN(-PMT(InterestRate/12,LoanYears*12,LoanAmount),C388+E388))</f>
      </c>
      <c r="E388" s="10">
        <f>IF(C388&gt;0,C388*InterestRate/12,0)</f>
      </c>
      <c r="F388" s="10">
        <f>D388-E388</f>
      </c>
      <c r="G388" s="10">
        <f>IF(AND(BonusFlag="あり",MOD(A388,6)=0,C388-F388&gt;0),MIN(BonusAmount,C388-F388),0)</f>
      </c>
      <c r="H388" s="10">
        <f>MAX(C388-F388-G388,0)</f>
      </c>
      <c r="I388" s="10">
        <f>I387+D388+G388</f>
      </c>
      <c r="J388" s="10">
        <f>J387+E388</f>
      </c>
      <c r="K388" s="10">
        <f>K387+F388+G388</f>
      </c>
    </row>
    <row r="389" spans="1:11" x14ac:dyDescent="0.25">
      <c r="A389">
        <v>387</v>
      </c>
      <c r="B389">
        <f>INT((A389-1)/12)+1</f>
      </c>
      <c r="C389" s="10">
        <f>H388</f>
      </c>
      <c r="D389" s="10">
        <f>IF(C389&lt;=0,0,MIN(-PMT(InterestRate/12,LoanYears*12,LoanAmount),C389+E389))</f>
      </c>
      <c r="E389" s="10">
        <f>IF(C389&gt;0,C389*InterestRate/12,0)</f>
      </c>
      <c r="F389" s="10">
        <f>D389-E389</f>
      </c>
      <c r="G389" s="10">
        <f>IF(AND(BonusFlag="あり",MOD(A389,6)=0,C389-F389&gt;0),MIN(BonusAmount,C389-F389),0)</f>
      </c>
      <c r="H389" s="10">
        <f>MAX(C389-F389-G389,0)</f>
      </c>
      <c r="I389" s="10">
        <f>I388+D389+G389</f>
      </c>
      <c r="J389" s="10">
        <f>J388+E389</f>
      </c>
      <c r="K389" s="10">
        <f>K388+F389+G389</f>
      </c>
    </row>
    <row r="390" spans="1:11" x14ac:dyDescent="0.25">
      <c r="A390">
        <v>388</v>
      </c>
      <c r="B390">
        <f>INT((A390-1)/12)+1</f>
      </c>
      <c r="C390" s="10">
        <f>H389</f>
      </c>
      <c r="D390" s="10">
        <f>IF(C390&lt;=0,0,MIN(-PMT(InterestRate/12,LoanYears*12,LoanAmount),C390+E390))</f>
      </c>
      <c r="E390" s="10">
        <f>IF(C390&gt;0,C390*InterestRate/12,0)</f>
      </c>
      <c r="F390" s="10">
        <f>D390-E390</f>
      </c>
      <c r="G390" s="10">
        <f>IF(AND(BonusFlag="あり",MOD(A390,6)=0,C390-F390&gt;0),MIN(BonusAmount,C390-F390),0)</f>
      </c>
      <c r="H390" s="10">
        <f>MAX(C390-F390-G390,0)</f>
      </c>
      <c r="I390" s="10">
        <f>I389+D390+G390</f>
      </c>
      <c r="J390" s="10">
        <f>J389+E390</f>
      </c>
      <c r="K390" s="10">
        <f>K389+F390+G390</f>
      </c>
    </row>
    <row r="391" spans="1:11" x14ac:dyDescent="0.25">
      <c r="A391">
        <v>389</v>
      </c>
      <c r="B391">
        <f>INT((A391-1)/12)+1</f>
      </c>
      <c r="C391" s="10">
        <f>H390</f>
      </c>
      <c r="D391" s="10">
        <f>IF(C391&lt;=0,0,MIN(-PMT(InterestRate/12,LoanYears*12,LoanAmount),C391+E391))</f>
      </c>
      <c r="E391" s="10">
        <f>IF(C391&gt;0,C391*InterestRate/12,0)</f>
      </c>
      <c r="F391" s="10">
        <f>D391-E391</f>
      </c>
      <c r="G391" s="10">
        <f>IF(AND(BonusFlag="あり",MOD(A391,6)=0,C391-F391&gt;0),MIN(BonusAmount,C391-F391),0)</f>
      </c>
      <c r="H391" s="10">
        <f>MAX(C391-F391-G391,0)</f>
      </c>
      <c r="I391" s="10">
        <f>I390+D391+G391</f>
      </c>
      <c r="J391" s="10">
        <f>J390+E391</f>
      </c>
      <c r="K391" s="10">
        <f>K390+F391+G391</f>
      </c>
    </row>
    <row r="392" spans="1:11" x14ac:dyDescent="0.25">
      <c r="A392">
        <v>390</v>
      </c>
      <c r="B392">
        <f>INT((A392-1)/12)+1</f>
      </c>
      <c r="C392" s="10">
        <f>H391</f>
      </c>
      <c r="D392" s="10">
        <f>IF(C392&lt;=0,0,MIN(-PMT(InterestRate/12,LoanYears*12,LoanAmount),C392+E392))</f>
      </c>
      <c r="E392" s="10">
        <f>IF(C392&gt;0,C392*InterestRate/12,0)</f>
      </c>
      <c r="F392" s="10">
        <f>D392-E392</f>
      </c>
      <c r="G392" s="10">
        <f>IF(AND(BonusFlag="あり",MOD(A392,6)=0,C392-F392&gt;0),MIN(BonusAmount,C392-F392),0)</f>
      </c>
      <c r="H392" s="10">
        <f>MAX(C392-F392-G392,0)</f>
      </c>
      <c r="I392" s="10">
        <f>I391+D392+G392</f>
      </c>
      <c r="J392" s="10">
        <f>J391+E392</f>
      </c>
      <c r="K392" s="10">
        <f>K391+F392+G392</f>
      </c>
    </row>
    <row r="393" spans="1:11" x14ac:dyDescent="0.25">
      <c r="A393">
        <v>391</v>
      </c>
      <c r="B393">
        <f>INT((A393-1)/12)+1</f>
      </c>
      <c r="C393" s="10">
        <f>H392</f>
      </c>
      <c r="D393" s="10">
        <f>IF(C393&lt;=0,0,MIN(-PMT(InterestRate/12,LoanYears*12,LoanAmount),C393+E393))</f>
      </c>
      <c r="E393" s="10">
        <f>IF(C393&gt;0,C393*InterestRate/12,0)</f>
      </c>
      <c r="F393" s="10">
        <f>D393-E393</f>
      </c>
      <c r="G393" s="10">
        <f>IF(AND(BonusFlag="あり",MOD(A393,6)=0,C393-F393&gt;0),MIN(BonusAmount,C393-F393),0)</f>
      </c>
      <c r="H393" s="10">
        <f>MAX(C393-F393-G393,0)</f>
      </c>
      <c r="I393" s="10">
        <f>I392+D393+G393</f>
      </c>
      <c r="J393" s="10">
        <f>J392+E393</f>
      </c>
      <c r="K393" s="10">
        <f>K392+F393+G393</f>
      </c>
    </row>
    <row r="394" spans="1:11" x14ac:dyDescent="0.25">
      <c r="A394">
        <v>392</v>
      </c>
      <c r="B394">
        <f>INT((A394-1)/12)+1</f>
      </c>
      <c r="C394" s="10">
        <f>H393</f>
      </c>
      <c r="D394" s="10">
        <f>IF(C394&lt;=0,0,MIN(-PMT(InterestRate/12,LoanYears*12,LoanAmount),C394+E394))</f>
      </c>
      <c r="E394" s="10">
        <f>IF(C394&gt;0,C394*InterestRate/12,0)</f>
      </c>
      <c r="F394" s="10">
        <f>D394-E394</f>
      </c>
      <c r="G394" s="10">
        <f>IF(AND(BonusFlag="あり",MOD(A394,6)=0,C394-F394&gt;0),MIN(BonusAmount,C394-F394),0)</f>
      </c>
      <c r="H394" s="10">
        <f>MAX(C394-F394-G394,0)</f>
      </c>
      <c r="I394" s="10">
        <f>I393+D394+G394</f>
      </c>
      <c r="J394" s="10">
        <f>J393+E394</f>
      </c>
      <c r="K394" s="10">
        <f>K393+F394+G394</f>
      </c>
    </row>
    <row r="395" spans="1:11" x14ac:dyDescent="0.25">
      <c r="A395">
        <v>393</v>
      </c>
      <c r="B395">
        <f>INT((A395-1)/12)+1</f>
      </c>
      <c r="C395" s="10">
        <f>H394</f>
      </c>
      <c r="D395" s="10">
        <f>IF(C395&lt;=0,0,MIN(-PMT(InterestRate/12,LoanYears*12,LoanAmount),C395+E395))</f>
      </c>
      <c r="E395" s="10">
        <f>IF(C395&gt;0,C395*InterestRate/12,0)</f>
      </c>
      <c r="F395" s="10">
        <f>D395-E395</f>
      </c>
      <c r="G395" s="10">
        <f>IF(AND(BonusFlag="あり",MOD(A395,6)=0,C395-F395&gt;0),MIN(BonusAmount,C395-F395),0)</f>
      </c>
      <c r="H395" s="10">
        <f>MAX(C395-F395-G395,0)</f>
      </c>
      <c r="I395" s="10">
        <f>I394+D395+G395</f>
      </c>
      <c r="J395" s="10">
        <f>J394+E395</f>
      </c>
      <c r="K395" s="10">
        <f>K394+F395+G395</f>
      </c>
    </row>
    <row r="396" spans="1:11" x14ac:dyDescent="0.25">
      <c r="A396">
        <v>394</v>
      </c>
      <c r="B396">
        <f>INT((A396-1)/12)+1</f>
      </c>
      <c r="C396" s="10">
        <f>H395</f>
      </c>
      <c r="D396" s="10">
        <f>IF(C396&lt;=0,0,MIN(-PMT(InterestRate/12,LoanYears*12,LoanAmount),C396+E396))</f>
      </c>
      <c r="E396" s="10">
        <f>IF(C396&gt;0,C396*InterestRate/12,0)</f>
      </c>
      <c r="F396" s="10">
        <f>D396-E396</f>
      </c>
      <c r="G396" s="10">
        <f>IF(AND(BonusFlag="あり",MOD(A396,6)=0,C396-F396&gt;0),MIN(BonusAmount,C396-F396),0)</f>
      </c>
      <c r="H396" s="10">
        <f>MAX(C396-F396-G396,0)</f>
      </c>
      <c r="I396" s="10">
        <f>I395+D396+G396</f>
      </c>
      <c r="J396" s="10">
        <f>J395+E396</f>
      </c>
      <c r="K396" s="10">
        <f>K395+F396+G396</f>
      </c>
    </row>
    <row r="397" spans="1:11" x14ac:dyDescent="0.25">
      <c r="A397">
        <v>395</v>
      </c>
      <c r="B397">
        <f>INT((A397-1)/12)+1</f>
      </c>
      <c r="C397" s="10">
        <f>H396</f>
      </c>
      <c r="D397" s="10">
        <f>IF(C397&lt;=0,0,MIN(-PMT(InterestRate/12,LoanYears*12,LoanAmount),C397+E397))</f>
      </c>
      <c r="E397" s="10">
        <f>IF(C397&gt;0,C397*InterestRate/12,0)</f>
      </c>
      <c r="F397" s="10">
        <f>D397-E397</f>
      </c>
      <c r="G397" s="10">
        <f>IF(AND(BonusFlag="あり",MOD(A397,6)=0,C397-F397&gt;0),MIN(BonusAmount,C397-F397),0)</f>
      </c>
      <c r="H397" s="10">
        <f>MAX(C397-F397-G397,0)</f>
      </c>
      <c r="I397" s="10">
        <f>I396+D397+G397</f>
      </c>
      <c r="J397" s="10">
        <f>J396+E397</f>
      </c>
      <c r="K397" s="10">
        <f>K396+F397+G397</f>
      </c>
    </row>
    <row r="398" spans="1:11" x14ac:dyDescent="0.25">
      <c r="A398">
        <v>396</v>
      </c>
      <c r="B398">
        <f>INT((A398-1)/12)+1</f>
      </c>
      <c r="C398" s="10">
        <f>H397</f>
      </c>
      <c r="D398" s="10">
        <f>IF(C398&lt;=0,0,MIN(-PMT(InterestRate/12,LoanYears*12,LoanAmount),C398+E398))</f>
      </c>
      <c r="E398" s="10">
        <f>IF(C398&gt;0,C398*InterestRate/12,0)</f>
      </c>
      <c r="F398" s="10">
        <f>D398-E398</f>
      </c>
      <c r="G398" s="10">
        <f>IF(AND(BonusFlag="あり",MOD(A398,6)=0,C398-F398&gt;0),MIN(BonusAmount,C398-F398),0)</f>
      </c>
      <c r="H398" s="10">
        <f>MAX(C398-F398-G398,0)</f>
      </c>
      <c r="I398" s="10">
        <f>I397+D398+G398</f>
      </c>
      <c r="J398" s="10">
        <f>J397+E398</f>
      </c>
      <c r="K398" s="10">
        <f>K397+F398+G398</f>
      </c>
    </row>
    <row r="399" spans="1:11" x14ac:dyDescent="0.25">
      <c r="A399">
        <v>397</v>
      </c>
      <c r="B399">
        <f>INT((A399-1)/12)+1</f>
      </c>
      <c r="C399" s="10">
        <f>H398</f>
      </c>
      <c r="D399" s="10">
        <f>IF(C399&lt;=0,0,MIN(-PMT(InterestRate/12,LoanYears*12,LoanAmount),C399+E399))</f>
      </c>
      <c r="E399" s="10">
        <f>IF(C399&gt;0,C399*InterestRate/12,0)</f>
      </c>
      <c r="F399" s="10">
        <f>D399-E399</f>
      </c>
      <c r="G399" s="10">
        <f>IF(AND(BonusFlag="あり",MOD(A399,6)=0,C399-F399&gt;0),MIN(BonusAmount,C399-F399),0)</f>
      </c>
      <c r="H399" s="10">
        <f>MAX(C399-F399-G399,0)</f>
      </c>
      <c r="I399" s="10">
        <f>I398+D399+G399</f>
      </c>
      <c r="J399" s="10">
        <f>J398+E399</f>
      </c>
      <c r="K399" s="10">
        <f>K398+F399+G399</f>
      </c>
    </row>
    <row r="400" spans="1:11" x14ac:dyDescent="0.25">
      <c r="A400">
        <v>398</v>
      </c>
      <c r="B400">
        <f>INT((A400-1)/12)+1</f>
      </c>
      <c r="C400" s="10">
        <f>H399</f>
      </c>
      <c r="D400" s="10">
        <f>IF(C400&lt;=0,0,MIN(-PMT(InterestRate/12,LoanYears*12,LoanAmount),C400+E400))</f>
      </c>
      <c r="E400" s="10">
        <f>IF(C400&gt;0,C400*InterestRate/12,0)</f>
      </c>
      <c r="F400" s="10">
        <f>D400-E400</f>
      </c>
      <c r="G400" s="10">
        <f>IF(AND(BonusFlag="あり",MOD(A400,6)=0,C400-F400&gt;0),MIN(BonusAmount,C400-F400),0)</f>
      </c>
      <c r="H400" s="10">
        <f>MAX(C400-F400-G400,0)</f>
      </c>
      <c r="I400" s="10">
        <f>I399+D400+G400</f>
      </c>
      <c r="J400" s="10">
        <f>J399+E400</f>
      </c>
      <c r="K400" s="10">
        <f>K399+F400+G400</f>
      </c>
    </row>
    <row r="401" spans="1:11" x14ac:dyDescent="0.25">
      <c r="A401">
        <v>399</v>
      </c>
      <c r="B401">
        <f>INT((A401-1)/12)+1</f>
      </c>
      <c r="C401" s="10">
        <f>H400</f>
      </c>
      <c r="D401" s="10">
        <f>IF(C401&lt;=0,0,MIN(-PMT(InterestRate/12,LoanYears*12,LoanAmount),C401+E401))</f>
      </c>
      <c r="E401" s="10">
        <f>IF(C401&gt;0,C401*InterestRate/12,0)</f>
      </c>
      <c r="F401" s="10">
        <f>D401-E401</f>
      </c>
      <c r="G401" s="10">
        <f>IF(AND(BonusFlag="あり",MOD(A401,6)=0,C401-F401&gt;0),MIN(BonusAmount,C401-F401),0)</f>
      </c>
      <c r="H401" s="10">
        <f>MAX(C401-F401-G401,0)</f>
      </c>
      <c r="I401" s="10">
        <f>I400+D401+G401</f>
      </c>
      <c r="J401" s="10">
        <f>J400+E401</f>
      </c>
      <c r="K401" s="10">
        <f>K400+F401+G401</f>
      </c>
    </row>
    <row r="402" spans="1:11" x14ac:dyDescent="0.25">
      <c r="A402">
        <v>400</v>
      </c>
      <c r="B402">
        <f>INT((A402-1)/12)+1</f>
      </c>
      <c r="C402" s="10">
        <f>H401</f>
      </c>
      <c r="D402" s="10">
        <f>IF(C402&lt;=0,0,MIN(-PMT(InterestRate/12,LoanYears*12,LoanAmount),C402+E402))</f>
      </c>
      <c r="E402" s="10">
        <f>IF(C402&gt;0,C402*InterestRate/12,0)</f>
      </c>
      <c r="F402" s="10">
        <f>D402-E402</f>
      </c>
      <c r="G402" s="10">
        <f>IF(AND(BonusFlag="あり",MOD(A402,6)=0,C402-F402&gt;0),MIN(BonusAmount,C402-F402),0)</f>
      </c>
      <c r="H402" s="10">
        <f>MAX(C402-F402-G402,0)</f>
      </c>
      <c r="I402" s="10">
        <f>I401+D402+G402</f>
      </c>
      <c r="J402" s="10">
        <f>J401+E402</f>
      </c>
      <c r="K402" s="10">
        <f>K401+F402+G402</f>
      </c>
    </row>
    <row r="403" spans="1:11" x14ac:dyDescent="0.25">
      <c r="A403">
        <v>401</v>
      </c>
      <c r="B403">
        <f>INT((A403-1)/12)+1</f>
      </c>
      <c r="C403" s="10">
        <f>H402</f>
      </c>
      <c r="D403" s="10">
        <f>IF(C403&lt;=0,0,MIN(-PMT(InterestRate/12,LoanYears*12,LoanAmount),C403+E403))</f>
      </c>
      <c r="E403" s="10">
        <f>IF(C403&gt;0,C403*InterestRate/12,0)</f>
      </c>
      <c r="F403" s="10">
        <f>D403-E403</f>
      </c>
      <c r="G403" s="10">
        <f>IF(AND(BonusFlag="あり",MOD(A403,6)=0,C403-F403&gt;0),MIN(BonusAmount,C403-F403),0)</f>
      </c>
      <c r="H403" s="10">
        <f>MAX(C403-F403-G403,0)</f>
      </c>
      <c r="I403" s="10">
        <f>I402+D403+G403</f>
      </c>
      <c r="J403" s="10">
        <f>J402+E403</f>
      </c>
      <c r="K403" s="10">
        <f>K402+F403+G403</f>
      </c>
    </row>
    <row r="404" spans="1:11" x14ac:dyDescent="0.25">
      <c r="A404">
        <v>402</v>
      </c>
      <c r="B404">
        <f>INT((A404-1)/12)+1</f>
      </c>
      <c r="C404" s="10">
        <f>H403</f>
      </c>
      <c r="D404" s="10">
        <f>IF(C404&lt;=0,0,MIN(-PMT(InterestRate/12,LoanYears*12,LoanAmount),C404+E404))</f>
      </c>
      <c r="E404" s="10">
        <f>IF(C404&gt;0,C404*InterestRate/12,0)</f>
      </c>
      <c r="F404" s="10">
        <f>D404-E404</f>
      </c>
      <c r="G404" s="10">
        <f>IF(AND(BonusFlag="あり",MOD(A404,6)=0,C404-F404&gt;0),MIN(BonusAmount,C404-F404),0)</f>
      </c>
      <c r="H404" s="10">
        <f>MAX(C404-F404-G404,0)</f>
      </c>
      <c r="I404" s="10">
        <f>I403+D404+G404</f>
      </c>
      <c r="J404" s="10">
        <f>J403+E404</f>
      </c>
      <c r="K404" s="10">
        <f>K403+F404+G404</f>
      </c>
    </row>
    <row r="405" spans="1:11" x14ac:dyDescent="0.25">
      <c r="A405">
        <v>403</v>
      </c>
      <c r="B405">
        <f>INT((A405-1)/12)+1</f>
      </c>
      <c r="C405" s="10">
        <f>H404</f>
      </c>
      <c r="D405" s="10">
        <f>IF(C405&lt;=0,0,MIN(-PMT(InterestRate/12,LoanYears*12,LoanAmount),C405+E405))</f>
      </c>
      <c r="E405" s="10">
        <f>IF(C405&gt;0,C405*InterestRate/12,0)</f>
      </c>
      <c r="F405" s="10">
        <f>D405-E405</f>
      </c>
      <c r="G405" s="10">
        <f>IF(AND(BonusFlag="あり",MOD(A405,6)=0,C405-F405&gt;0),MIN(BonusAmount,C405-F405),0)</f>
      </c>
      <c r="H405" s="10">
        <f>MAX(C405-F405-G405,0)</f>
      </c>
      <c r="I405" s="10">
        <f>I404+D405+G405</f>
      </c>
      <c r="J405" s="10">
        <f>J404+E405</f>
      </c>
      <c r="K405" s="10">
        <f>K404+F405+G405</f>
      </c>
    </row>
    <row r="406" spans="1:11" x14ac:dyDescent="0.25">
      <c r="A406">
        <v>404</v>
      </c>
      <c r="B406">
        <f>INT((A406-1)/12)+1</f>
      </c>
      <c r="C406" s="10">
        <f>H405</f>
      </c>
      <c r="D406" s="10">
        <f>IF(C406&lt;=0,0,MIN(-PMT(InterestRate/12,LoanYears*12,LoanAmount),C406+E406))</f>
      </c>
      <c r="E406" s="10">
        <f>IF(C406&gt;0,C406*InterestRate/12,0)</f>
      </c>
      <c r="F406" s="10">
        <f>D406-E406</f>
      </c>
      <c r="G406" s="10">
        <f>IF(AND(BonusFlag="あり",MOD(A406,6)=0,C406-F406&gt;0),MIN(BonusAmount,C406-F406),0)</f>
      </c>
      <c r="H406" s="10">
        <f>MAX(C406-F406-G406,0)</f>
      </c>
      <c r="I406" s="10">
        <f>I405+D406+G406</f>
      </c>
      <c r="J406" s="10">
        <f>J405+E406</f>
      </c>
      <c r="K406" s="10">
        <f>K405+F406+G406</f>
      </c>
    </row>
    <row r="407" spans="1:11" x14ac:dyDescent="0.25">
      <c r="A407">
        <v>405</v>
      </c>
      <c r="B407">
        <f>INT((A407-1)/12)+1</f>
      </c>
      <c r="C407" s="10">
        <f>H406</f>
      </c>
      <c r="D407" s="10">
        <f>IF(C407&lt;=0,0,MIN(-PMT(InterestRate/12,LoanYears*12,LoanAmount),C407+E407))</f>
      </c>
      <c r="E407" s="10">
        <f>IF(C407&gt;0,C407*InterestRate/12,0)</f>
      </c>
      <c r="F407" s="10">
        <f>D407-E407</f>
      </c>
      <c r="G407" s="10">
        <f>IF(AND(BonusFlag="あり",MOD(A407,6)=0,C407-F407&gt;0),MIN(BonusAmount,C407-F407),0)</f>
      </c>
      <c r="H407" s="10">
        <f>MAX(C407-F407-G407,0)</f>
      </c>
      <c r="I407" s="10">
        <f>I406+D407+G407</f>
      </c>
      <c r="J407" s="10">
        <f>J406+E407</f>
      </c>
      <c r="K407" s="10">
        <f>K406+F407+G407</f>
      </c>
    </row>
    <row r="408" spans="1:11" x14ac:dyDescent="0.25">
      <c r="A408">
        <v>406</v>
      </c>
      <c r="B408">
        <f>INT((A408-1)/12)+1</f>
      </c>
      <c r="C408" s="10">
        <f>H407</f>
      </c>
      <c r="D408" s="10">
        <f>IF(C408&lt;=0,0,MIN(-PMT(InterestRate/12,LoanYears*12,LoanAmount),C408+E408))</f>
      </c>
      <c r="E408" s="10">
        <f>IF(C408&gt;0,C408*InterestRate/12,0)</f>
      </c>
      <c r="F408" s="10">
        <f>D408-E408</f>
      </c>
      <c r="G408" s="10">
        <f>IF(AND(BonusFlag="あり",MOD(A408,6)=0,C408-F408&gt;0),MIN(BonusAmount,C408-F408),0)</f>
      </c>
      <c r="H408" s="10">
        <f>MAX(C408-F408-G408,0)</f>
      </c>
      <c r="I408" s="10">
        <f>I407+D408+G408</f>
      </c>
      <c r="J408" s="10">
        <f>J407+E408</f>
      </c>
      <c r="K408" s="10">
        <f>K407+F408+G408</f>
      </c>
    </row>
    <row r="409" spans="1:11" x14ac:dyDescent="0.25">
      <c r="A409">
        <v>407</v>
      </c>
      <c r="B409">
        <f>INT((A409-1)/12)+1</f>
      </c>
      <c r="C409" s="10">
        <f>H408</f>
      </c>
      <c r="D409" s="10">
        <f>IF(C409&lt;=0,0,MIN(-PMT(InterestRate/12,LoanYears*12,LoanAmount),C409+E409))</f>
      </c>
      <c r="E409" s="10">
        <f>IF(C409&gt;0,C409*InterestRate/12,0)</f>
      </c>
      <c r="F409" s="10">
        <f>D409-E409</f>
      </c>
      <c r="G409" s="10">
        <f>IF(AND(BonusFlag="あり",MOD(A409,6)=0,C409-F409&gt;0),MIN(BonusAmount,C409-F409),0)</f>
      </c>
      <c r="H409" s="10">
        <f>MAX(C409-F409-G409,0)</f>
      </c>
      <c r="I409" s="10">
        <f>I408+D409+G409</f>
      </c>
      <c r="J409" s="10">
        <f>J408+E409</f>
      </c>
      <c r="K409" s="10">
        <f>K408+F409+G409</f>
      </c>
    </row>
    <row r="410" spans="1:11" x14ac:dyDescent="0.25">
      <c r="A410">
        <v>408</v>
      </c>
      <c r="B410">
        <f>INT((A410-1)/12)+1</f>
      </c>
      <c r="C410" s="10">
        <f>H409</f>
      </c>
      <c r="D410" s="10">
        <f>IF(C410&lt;=0,0,MIN(-PMT(InterestRate/12,LoanYears*12,LoanAmount),C410+E410))</f>
      </c>
      <c r="E410" s="10">
        <f>IF(C410&gt;0,C410*InterestRate/12,0)</f>
      </c>
      <c r="F410" s="10">
        <f>D410-E410</f>
      </c>
      <c r="G410" s="10">
        <f>IF(AND(BonusFlag="あり",MOD(A410,6)=0,C410-F410&gt;0),MIN(BonusAmount,C410-F410),0)</f>
      </c>
      <c r="H410" s="10">
        <f>MAX(C410-F410-G410,0)</f>
      </c>
      <c r="I410" s="10">
        <f>I409+D410+G410</f>
      </c>
      <c r="J410" s="10">
        <f>J409+E410</f>
      </c>
      <c r="K410" s="10">
        <f>K409+F410+G410</f>
      </c>
    </row>
    <row r="411" spans="1:11" x14ac:dyDescent="0.25">
      <c r="A411">
        <v>409</v>
      </c>
      <c r="B411">
        <f>INT((A411-1)/12)+1</f>
      </c>
      <c r="C411" s="10">
        <f>H410</f>
      </c>
      <c r="D411" s="10">
        <f>IF(C411&lt;=0,0,MIN(-PMT(InterestRate/12,LoanYears*12,LoanAmount),C411+E411))</f>
      </c>
      <c r="E411" s="10">
        <f>IF(C411&gt;0,C411*InterestRate/12,0)</f>
      </c>
      <c r="F411" s="10">
        <f>D411-E411</f>
      </c>
      <c r="G411" s="10">
        <f>IF(AND(BonusFlag="あり",MOD(A411,6)=0,C411-F411&gt;0),MIN(BonusAmount,C411-F411),0)</f>
      </c>
      <c r="H411" s="10">
        <f>MAX(C411-F411-G411,0)</f>
      </c>
      <c r="I411" s="10">
        <f>I410+D411+G411</f>
      </c>
      <c r="J411" s="10">
        <f>J410+E411</f>
      </c>
      <c r="K411" s="10">
        <f>K410+F411+G411</f>
      </c>
    </row>
    <row r="412" spans="1:11" x14ac:dyDescent="0.25">
      <c r="A412">
        <v>410</v>
      </c>
      <c r="B412">
        <f>INT((A412-1)/12)+1</f>
      </c>
      <c r="C412" s="10">
        <f>H411</f>
      </c>
      <c r="D412" s="10">
        <f>IF(C412&lt;=0,0,MIN(-PMT(InterestRate/12,LoanYears*12,LoanAmount),C412+E412))</f>
      </c>
      <c r="E412" s="10">
        <f>IF(C412&gt;0,C412*InterestRate/12,0)</f>
      </c>
      <c r="F412" s="10">
        <f>D412-E412</f>
      </c>
      <c r="G412" s="10">
        <f>IF(AND(BonusFlag="あり",MOD(A412,6)=0,C412-F412&gt;0),MIN(BonusAmount,C412-F412),0)</f>
      </c>
      <c r="H412" s="10">
        <f>MAX(C412-F412-G412,0)</f>
      </c>
      <c r="I412" s="10">
        <f>I411+D412+G412</f>
      </c>
      <c r="J412" s="10">
        <f>J411+E412</f>
      </c>
      <c r="K412" s="10">
        <f>K411+F412+G412</f>
      </c>
    </row>
    <row r="413" spans="1:11" x14ac:dyDescent="0.25">
      <c r="A413">
        <v>411</v>
      </c>
      <c r="B413">
        <f>INT((A413-1)/12)+1</f>
      </c>
      <c r="C413" s="10">
        <f>H412</f>
      </c>
      <c r="D413" s="10">
        <f>IF(C413&lt;=0,0,MIN(-PMT(InterestRate/12,LoanYears*12,LoanAmount),C413+E413))</f>
      </c>
      <c r="E413" s="10">
        <f>IF(C413&gt;0,C413*InterestRate/12,0)</f>
      </c>
      <c r="F413" s="10">
        <f>D413-E413</f>
      </c>
      <c r="G413" s="10">
        <f>IF(AND(BonusFlag="あり",MOD(A413,6)=0,C413-F413&gt;0),MIN(BonusAmount,C413-F413),0)</f>
      </c>
      <c r="H413" s="10">
        <f>MAX(C413-F413-G413,0)</f>
      </c>
      <c r="I413" s="10">
        <f>I412+D413+G413</f>
      </c>
      <c r="J413" s="10">
        <f>J412+E413</f>
      </c>
      <c r="K413" s="10">
        <f>K412+F413+G413</f>
      </c>
    </row>
    <row r="414" spans="1:11" x14ac:dyDescent="0.25">
      <c r="A414">
        <v>412</v>
      </c>
      <c r="B414">
        <f>INT((A414-1)/12)+1</f>
      </c>
      <c r="C414" s="10">
        <f>H413</f>
      </c>
      <c r="D414" s="10">
        <f>IF(C414&lt;=0,0,MIN(-PMT(InterestRate/12,LoanYears*12,LoanAmount),C414+E414))</f>
      </c>
      <c r="E414" s="10">
        <f>IF(C414&gt;0,C414*InterestRate/12,0)</f>
      </c>
      <c r="F414" s="10">
        <f>D414-E414</f>
      </c>
      <c r="G414" s="10">
        <f>IF(AND(BonusFlag="あり",MOD(A414,6)=0,C414-F414&gt;0),MIN(BonusAmount,C414-F414),0)</f>
      </c>
      <c r="H414" s="10">
        <f>MAX(C414-F414-G414,0)</f>
      </c>
      <c r="I414" s="10">
        <f>I413+D414+G414</f>
      </c>
      <c r="J414" s="10">
        <f>J413+E414</f>
      </c>
      <c r="K414" s="10">
        <f>K413+F414+G414</f>
      </c>
    </row>
    <row r="415" spans="1:11" x14ac:dyDescent="0.25">
      <c r="A415">
        <v>413</v>
      </c>
      <c r="B415">
        <f>INT((A415-1)/12)+1</f>
      </c>
      <c r="C415" s="10">
        <f>H414</f>
      </c>
      <c r="D415" s="10">
        <f>IF(C415&lt;=0,0,MIN(-PMT(InterestRate/12,LoanYears*12,LoanAmount),C415+E415))</f>
      </c>
      <c r="E415" s="10">
        <f>IF(C415&gt;0,C415*InterestRate/12,0)</f>
      </c>
      <c r="F415" s="10">
        <f>D415-E415</f>
      </c>
      <c r="G415" s="10">
        <f>IF(AND(BonusFlag="あり",MOD(A415,6)=0,C415-F415&gt;0),MIN(BonusAmount,C415-F415),0)</f>
      </c>
      <c r="H415" s="10">
        <f>MAX(C415-F415-G415,0)</f>
      </c>
      <c r="I415" s="10">
        <f>I414+D415+G415</f>
      </c>
      <c r="J415" s="10">
        <f>J414+E415</f>
      </c>
      <c r="K415" s="10">
        <f>K414+F415+G415</f>
      </c>
    </row>
    <row r="416" spans="1:11" x14ac:dyDescent="0.25">
      <c r="A416">
        <v>414</v>
      </c>
      <c r="B416">
        <f>INT((A416-1)/12)+1</f>
      </c>
      <c r="C416" s="10">
        <f>H415</f>
      </c>
      <c r="D416" s="10">
        <f>IF(C416&lt;=0,0,MIN(-PMT(InterestRate/12,LoanYears*12,LoanAmount),C416+E416))</f>
      </c>
      <c r="E416" s="10">
        <f>IF(C416&gt;0,C416*InterestRate/12,0)</f>
      </c>
      <c r="F416" s="10">
        <f>D416-E416</f>
      </c>
      <c r="G416" s="10">
        <f>IF(AND(BonusFlag="あり",MOD(A416,6)=0,C416-F416&gt;0),MIN(BonusAmount,C416-F416),0)</f>
      </c>
      <c r="H416" s="10">
        <f>MAX(C416-F416-G416,0)</f>
      </c>
      <c r="I416" s="10">
        <f>I415+D416+G416</f>
      </c>
      <c r="J416" s="10">
        <f>J415+E416</f>
      </c>
      <c r="K416" s="10">
        <f>K415+F416+G416</f>
      </c>
    </row>
    <row r="417" spans="1:11" x14ac:dyDescent="0.25">
      <c r="A417">
        <v>415</v>
      </c>
      <c r="B417">
        <f>INT((A417-1)/12)+1</f>
      </c>
      <c r="C417" s="10">
        <f>H416</f>
      </c>
      <c r="D417" s="10">
        <f>IF(C417&lt;=0,0,MIN(-PMT(InterestRate/12,LoanYears*12,LoanAmount),C417+E417))</f>
      </c>
      <c r="E417" s="10">
        <f>IF(C417&gt;0,C417*InterestRate/12,0)</f>
      </c>
      <c r="F417" s="10">
        <f>D417-E417</f>
      </c>
      <c r="G417" s="10">
        <f>IF(AND(BonusFlag="あり",MOD(A417,6)=0,C417-F417&gt;0),MIN(BonusAmount,C417-F417),0)</f>
      </c>
      <c r="H417" s="10">
        <f>MAX(C417-F417-G417,0)</f>
      </c>
      <c r="I417" s="10">
        <f>I416+D417+G417</f>
      </c>
      <c r="J417" s="10">
        <f>J416+E417</f>
      </c>
      <c r="K417" s="10">
        <f>K416+F417+G417</f>
      </c>
    </row>
    <row r="418" spans="1:11" x14ac:dyDescent="0.25">
      <c r="A418">
        <v>416</v>
      </c>
      <c r="B418">
        <f>INT((A418-1)/12)+1</f>
      </c>
      <c r="C418" s="10">
        <f>H417</f>
      </c>
      <c r="D418" s="10">
        <f>IF(C418&lt;=0,0,MIN(-PMT(InterestRate/12,LoanYears*12,LoanAmount),C418+E418))</f>
      </c>
      <c r="E418" s="10">
        <f>IF(C418&gt;0,C418*InterestRate/12,0)</f>
      </c>
      <c r="F418" s="10">
        <f>D418-E418</f>
      </c>
      <c r="G418" s="10">
        <f>IF(AND(BonusFlag="あり",MOD(A418,6)=0,C418-F418&gt;0),MIN(BonusAmount,C418-F418),0)</f>
      </c>
      <c r="H418" s="10">
        <f>MAX(C418-F418-G418,0)</f>
      </c>
      <c r="I418" s="10">
        <f>I417+D418+G418</f>
      </c>
      <c r="J418" s="10">
        <f>J417+E418</f>
      </c>
      <c r="K418" s="10">
        <f>K417+F418+G418</f>
      </c>
    </row>
    <row r="419" spans="1:11" x14ac:dyDescent="0.25">
      <c r="A419">
        <v>417</v>
      </c>
      <c r="B419">
        <f>INT((A419-1)/12)+1</f>
      </c>
      <c r="C419" s="10">
        <f>H418</f>
      </c>
      <c r="D419" s="10">
        <f>IF(C419&lt;=0,0,MIN(-PMT(InterestRate/12,LoanYears*12,LoanAmount),C419+E419))</f>
      </c>
      <c r="E419" s="10">
        <f>IF(C419&gt;0,C419*InterestRate/12,0)</f>
      </c>
      <c r="F419" s="10">
        <f>D419-E419</f>
      </c>
      <c r="G419" s="10">
        <f>IF(AND(BonusFlag="あり",MOD(A419,6)=0,C419-F419&gt;0),MIN(BonusAmount,C419-F419),0)</f>
      </c>
      <c r="H419" s="10">
        <f>MAX(C419-F419-G419,0)</f>
      </c>
      <c r="I419" s="10">
        <f>I418+D419+G419</f>
      </c>
      <c r="J419" s="10">
        <f>J418+E419</f>
      </c>
      <c r="K419" s="10">
        <f>K418+F419+G419</f>
      </c>
    </row>
    <row r="420" spans="1:11" x14ac:dyDescent="0.25">
      <c r="A420">
        <v>418</v>
      </c>
      <c r="B420">
        <f>INT((A420-1)/12)+1</f>
      </c>
      <c r="C420" s="10">
        <f>H419</f>
      </c>
      <c r="D420" s="10">
        <f>IF(C420&lt;=0,0,MIN(-PMT(InterestRate/12,LoanYears*12,LoanAmount),C420+E420))</f>
      </c>
      <c r="E420" s="10">
        <f>IF(C420&gt;0,C420*InterestRate/12,0)</f>
      </c>
      <c r="F420" s="10">
        <f>D420-E420</f>
      </c>
      <c r="G420" s="10">
        <f>IF(AND(BonusFlag="あり",MOD(A420,6)=0,C420-F420&gt;0),MIN(BonusAmount,C420-F420),0)</f>
      </c>
      <c r="H420" s="10">
        <f>MAX(C420-F420-G420,0)</f>
      </c>
      <c r="I420" s="10">
        <f>I419+D420+G420</f>
      </c>
      <c r="J420" s="10">
        <f>J419+E420</f>
      </c>
      <c r="K420" s="10">
        <f>K419+F420+G420</f>
      </c>
    </row>
    <row r="421" spans="1:11" x14ac:dyDescent="0.25">
      <c r="A421">
        <v>419</v>
      </c>
      <c r="B421">
        <f>INT((A421-1)/12)+1</f>
      </c>
      <c r="C421" s="10">
        <f>H420</f>
      </c>
      <c r="D421" s="10">
        <f>IF(C421&lt;=0,0,MIN(-PMT(InterestRate/12,LoanYears*12,LoanAmount),C421+E421))</f>
      </c>
      <c r="E421" s="10">
        <f>IF(C421&gt;0,C421*InterestRate/12,0)</f>
      </c>
      <c r="F421" s="10">
        <f>D421-E421</f>
      </c>
      <c r="G421" s="10">
        <f>IF(AND(BonusFlag="あり",MOD(A421,6)=0,C421-F421&gt;0),MIN(BonusAmount,C421-F421),0)</f>
      </c>
      <c r="H421" s="10">
        <f>MAX(C421-F421-G421,0)</f>
      </c>
      <c r="I421" s="10">
        <f>I420+D421+G421</f>
      </c>
      <c r="J421" s="10">
        <f>J420+E421</f>
      </c>
      <c r="K421" s="10">
        <f>K420+F421+G421</f>
      </c>
    </row>
    <row r="422" spans="1:11" x14ac:dyDescent="0.25">
      <c r="A422">
        <v>420</v>
      </c>
      <c r="B422">
        <f>INT((A422-1)/12)+1</f>
      </c>
      <c r="C422" s="10">
        <f>H421</f>
      </c>
      <c r="D422" s="10">
        <f>IF(C422&lt;=0,0,MIN(-PMT(InterestRate/12,LoanYears*12,LoanAmount),C422+E422))</f>
      </c>
      <c r="E422" s="10">
        <f>IF(C422&gt;0,C422*InterestRate/12,0)</f>
      </c>
      <c r="F422" s="10">
        <f>D422-E422</f>
      </c>
      <c r="G422" s="10">
        <f>IF(AND(BonusFlag="あり",MOD(A422,6)=0,C422-F422&gt;0),MIN(BonusAmount,C422-F422),0)</f>
      </c>
      <c r="H422" s="10">
        <f>MAX(C422-F422-G422,0)</f>
      </c>
      <c r="I422" s="10">
        <f>I421+D422+G422</f>
      </c>
      <c r="J422" s="10">
        <f>J421+E422</f>
      </c>
      <c r="K422" s="10">
        <f>K421+F422+G422</f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N3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4" customWidth="1"/>
    <col min="3" max="4" width="13" customWidth="1"/>
    <col min="5" max="5" width="12" customWidth="1"/>
    <col min="6" max="6" width="13" customWidth="1"/>
    <col min="7" max="9" width="12" customWidth="1"/>
    <col min="10" max="11" width="13" customWidth="1"/>
    <col min="12" max="12" width="14" customWidth="1"/>
    <col min="13" max="13" width="15" customWidth="1"/>
    <col min="14" max="14" width="16" customWidth="1"/>
  </cols>
  <sheetData>
    <row r="1" ht="24" customHeight="1" spans="1:14" x14ac:dyDescent="0.25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 x14ac:dyDescent="0.25">
      <c r="A2" s="2" t="s">
        <v>16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</row>
    <row r="3" spans="1:14" x14ac:dyDescent="0.25">
      <c r="A3">
        <v>1</v>
      </c>
      <c r="B3" s="10">
        <f>SUMIFS(ローン返済表!D:D,ローン返済表!B:B,A3)+SUMIFS(ローン返済表!G:G,ローン返済表!B:B,A3)</f>
      </c>
      <c r="C3" s="10">
        <f>SUMIFS(ローン返済表!E:E,ローン返済表!B:B,A3)</f>
      </c>
      <c r="D3" s="10">
        <f>SUMIFS(ローン返済表!F:F,ローン返済表!B:B,A3)+SUMIFS(ローン返済表!G:G,ローン返済表!B:B,A3)</f>
      </c>
      <c r="E3" s="10">
        <f>MgmtFee*12</f>
      </c>
      <c r="F3" s="10">
        <f>ReserveFee*12</f>
      </c>
      <c r="G3" s="10">
        <f>ParkingFee*12</f>
      </c>
      <c r="H3" s="10">
        <f>PropertyTax</f>
      </c>
      <c r="I3" s="10">
        <f>FireInsurance</f>
      </c>
      <c r="J3" s="10">
        <f>OtherMaintenance</f>
      </c>
      <c r="K3" s="10">
        <f>IF(A3&lt;=LoanYears,LoanDeduction,0)</f>
      </c>
      <c r="L3" s="11">
        <f>B3+E3+F3+G3+H3+I3+J3-K3</f>
      </c>
      <c r="M3" s="10">
        <f>L3</f>
      </c>
      <c r="N3" s="10">
        <f>INDEX(ローン返済表!H:H,A3*12+1)</f>
      </c>
    </row>
    <row r="4" spans="1:14" x14ac:dyDescent="0.25">
      <c r="A4">
        <v>2</v>
      </c>
      <c r="B4" s="10">
        <f>SUMIFS(ローン返済表!D:D,ローン返済表!B:B,A4)+SUMIFS(ローン返済表!G:G,ローン返済表!B:B,A4)</f>
      </c>
      <c r="C4" s="10">
        <f>SUMIFS(ローン返済表!E:E,ローン返済表!B:B,A4)</f>
      </c>
      <c r="D4" s="10">
        <f>SUMIFS(ローン返済表!F:F,ローン返済表!B:B,A4)+SUMIFS(ローン返済表!G:G,ローン返済表!B:B,A4)</f>
      </c>
      <c r="E4" s="10">
        <f>MgmtFee*12</f>
      </c>
      <c r="F4" s="10">
        <f>ReserveFee*12</f>
      </c>
      <c r="G4" s="10">
        <f>ParkingFee*12</f>
      </c>
      <c r="H4" s="10">
        <f>PropertyTax</f>
      </c>
      <c r="I4" s="10">
        <f>FireInsurance</f>
      </c>
      <c r="J4" s="10">
        <f>OtherMaintenance</f>
      </c>
      <c r="K4" s="10">
        <f>IF(A4&lt;=LoanYears,LoanDeduction,0)</f>
      </c>
      <c r="L4" s="11">
        <f>B4+E4+F4+G4+H4+I4+J4-K4</f>
      </c>
      <c r="M4" s="10">
        <f>M3+L4</f>
      </c>
      <c r="N4" s="10">
        <f>INDEX(ローン返済表!H:H,A4*12+1)</f>
      </c>
    </row>
    <row r="5" spans="1:14" x14ac:dyDescent="0.25">
      <c r="A5">
        <v>3</v>
      </c>
      <c r="B5" s="10">
        <f>SUMIFS(ローン返済表!D:D,ローン返済表!B:B,A5)+SUMIFS(ローン返済表!G:G,ローン返済表!B:B,A5)</f>
      </c>
      <c r="C5" s="10">
        <f>SUMIFS(ローン返済表!E:E,ローン返済表!B:B,A5)</f>
      </c>
      <c r="D5" s="10">
        <f>SUMIFS(ローン返済表!F:F,ローン返済表!B:B,A5)+SUMIFS(ローン返済表!G:G,ローン返済表!B:B,A5)</f>
      </c>
      <c r="E5" s="10">
        <f>MgmtFee*12</f>
      </c>
      <c r="F5" s="10">
        <f>ReserveFee*12</f>
      </c>
      <c r="G5" s="10">
        <f>ParkingFee*12</f>
      </c>
      <c r="H5" s="10">
        <f>PropertyTax</f>
      </c>
      <c r="I5" s="10">
        <f>FireInsurance</f>
      </c>
      <c r="J5" s="10">
        <f>OtherMaintenance</f>
      </c>
      <c r="K5" s="10">
        <f>IF(A5&lt;=LoanYears,LoanDeduction,0)</f>
      </c>
      <c r="L5" s="11">
        <f>B5+E5+F5+G5+H5+I5+J5-K5</f>
      </c>
      <c r="M5" s="10">
        <f>M4+L5</f>
      </c>
      <c r="N5" s="10">
        <f>INDEX(ローン返済表!H:H,A5*12+1)</f>
      </c>
    </row>
    <row r="6" spans="1:14" x14ac:dyDescent="0.25">
      <c r="A6">
        <v>4</v>
      </c>
      <c r="B6" s="10">
        <f>SUMIFS(ローン返済表!D:D,ローン返済表!B:B,A6)+SUMIFS(ローン返済表!G:G,ローン返済表!B:B,A6)</f>
      </c>
      <c r="C6" s="10">
        <f>SUMIFS(ローン返済表!E:E,ローン返済表!B:B,A6)</f>
      </c>
      <c r="D6" s="10">
        <f>SUMIFS(ローン返済表!F:F,ローン返済表!B:B,A6)+SUMIFS(ローン返済表!G:G,ローン返済表!B:B,A6)</f>
      </c>
      <c r="E6" s="10">
        <f>MgmtFee*12</f>
      </c>
      <c r="F6" s="10">
        <f>ReserveFee*12</f>
      </c>
      <c r="G6" s="10">
        <f>ParkingFee*12</f>
      </c>
      <c r="H6" s="10">
        <f>PropertyTax</f>
      </c>
      <c r="I6" s="10">
        <f>FireInsurance</f>
      </c>
      <c r="J6" s="10">
        <f>OtherMaintenance</f>
      </c>
      <c r="K6" s="10">
        <f>IF(A6&lt;=LoanYears,LoanDeduction,0)</f>
      </c>
      <c r="L6" s="11">
        <f>B6+E6+F6+G6+H6+I6+J6-K6</f>
      </c>
      <c r="M6" s="10">
        <f>M5+L6</f>
      </c>
      <c r="N6" s="10">
        <f>INDEX(ローン返済表!H:H,A6*12+1)</f>
      </c>
    </row>
    <row r="7" spans="1:14" x14ac:dyDescent="0.25">
      <c r="A7">
        <v>5</v>
      </c>
      <c r="B7" s="10">
        <f>SUMIFS(ローン返済表!D:D,ローン返済表!B:B,A7)+SUMIFS(ローン返済表!G:G,ローン返済表!B:B,A7)</f>
      </c>
      <c r="C7" s="10">
        <f>SUMIFS(ローン返済表!E:E,ローン返済表!B:B,A7)</f>
      </c>
      <c r="D7" s="10">
        <f>SUMIFS(ローン返済表!F:F,ローン返済表!B:B,A7)+SUMIFS(ローン返済表!G:G,ローン返済表!B:B,A7)</f>
      </c>
      <c r="E7" s="10">
        <f>MgmtFee*12</f>
      </c>
      <c r="F7" s="10">
        <f>ReserveFee*12</f>
      </c>
      <c r="G7" s="10">
        <f>ParkingFee*12</f>
      </c>
      <c r="H7" s="10">
        <f>PropertyTax</f>
      </c>
      <c r="I7" s="10">
        <f>FireInsurance</f>
      </c>
      <c r="J7" s="10">
        <f>OtherMaintenance</f>
      </c>
      <c r="K7" s="10">
        <f>IF(A7&lt;=LoanYears,LoanDeduction,0)</f>
      </c>
      <c r="L7" s="11">
        <f>B7+E7+F7+G7+H7+I7+J7-K7</f>
      </c>
      <c r="M7" s="10">
        <f>M6+L7</f>
      </c>
      <c r="N7" s="10">
        <f>INDEX(ローン返済表!H:H,A7*12+1)</f>
      </c>
    </row>
    <row r="8" spans="1:14" x14ac:dyDescent="0.25">
      <c r="A8">
        <v>6</v>
      </c>
      <c r="B8" s="10">
        <f>SUMIFS(ローン返済表!D:D,ローン返済表!B:B,A8)+SUMIFS(ローン返済表!G:G,ローン返済表!B:B,A8)</f>
      </c>
      <c r="C8" s="10">
        <f>SUMIFS(ローン返済表!E:E,ローン返済表!B:B,A8)</f>
      </c>
      <c r="D8" s="10">
        <f>SUMIFS(ローン返済表!F:F,ローン返済表!B:B,A8)+SUMIFS(ローン返済表!G:G,ローン返済表!B:B,A8)</f>
      </c>
      <c r="E8" s="10">
        <f>MgmtFee*12</f>
      </c>
      <c r="F8" s="10">
        <f>ReserveFee*12</f>
      </c>
      <c r="G8" s="10">
        <f>ParkingFee*12</f>
      </c>
      <c r="H8" s="10">
        <f>PropertyTax</f>
      </c>
      <c r="I8" s="10">
        <f>FireInsurance</f>
      </c>
      <c r="J8" s="10">
        <f>OtherMaintenance</f>
      </c>
      <c r="K8" s="10">
        <f>IF(A8&lt;=LoanYears,LoanDeduction,0)</f>
      </c>
      <c r="L8" s="11">
        <f>B8+E8+F8+G8+H8+I8+J8-K8</f>
      </c>
      <c r="M8" s="10">
        <f>M7+L8</f>
      </c>
      <c r="N8" s="10">
        <f>INDEX(ローン返済表!H:H,A8*12+1)</f>
      </c>
    </row>
    <row r="9" spans="1:14" x14ac:dyDescent="0.25">
      <c r="A9">
        <v>7</v>
      </c>
      <c r="B9" s="10">
        <f>SUMIFS(ローン返済表!D:D,ローン返済表!B:B,A9)+SUMIFS(ローン返済表!G:G,ローン返済表!B:B,A9)</f>
      </c>
      <c r="C9" s="10">
        <f>SUMIFS(ローン返済表!E:E,ローン返済表!B:B,A9)</f>
      </c>
      <c r="D9" s="10">
        <f>SUMIFS(ローン返済表!F:F,ローン返済表!B:B,A9)+SUMIFS(ローン返済表!G:G,ローン返済表!B:B,A9)</f>
      </c>
      <c r="E9" s="10">
        <f>MgmtFee*12</f>
      </c>
      <c r="F9" s="10">
        <f>ReserveFee*12</f>
      </c>
      <c r="G9" s="10">
        <f>ParkingFee*12</f>
      </c>
      <c r="H9" s="10">
        <f>PropertyTax</f>
      </c>
      <c r="I9" s="10">
        <f>FireInsurance</f>
      </c>
      <c r="J9" s="10">
        <f>OtherMaintenance</f>
      </c>
      <c r="K9" s="10">
        <f>IF(A9&lt;=LoanYears,LoanDeduction,0)</f>
      </c>
      <c r="L9" s="11">
        <f>B9+E9+F9+G9+H9+I9+J9-K9</f>
      </c>
      <c r="M9" s="10">
        <f>M8+L9</f>
      </c>
      <c r="N9" s="10">
        <f>INDEX(ローン返済表!H:H,A9*12+1)</f>
      </c>
    </row>
    <row r="10" spans="1:14" x14ac:dyDescent="0.25">
      <c r="A10">
        <v>8</v>
      </c>
      <c r="B10" s="10">
        <f>SUMIFS(ローン返済表!D:D,ローン返済表!B:B,A10)+SUMIFS(ローン返済表!G:G,ローン返済表!B:B,A10)</f>
      </c>
      <c r="C10" s="10">
        <f>SUMIFS(ローン返済表!E:E,ローン返済表!B:B,A10)</f>
      </c>
      <c r="D10" s="10">
        <f>SUMIFS(ローン返済表!F:F,ローン返済表!B:B,A10)+SUMIFS(ローン返済表!G:G,ローン返済表!B:B,A10)</f>
      </c>
      <c r="E10" s="10">
        <f>MgmtFee*12</f>
      </c>
      <c r="F10" s="10">
        <f>ReserveFee*12</f>
      </c>
      <c r="G10" s="10">
        <f>ParkingFee*12</f>
      </c>
      <c r="H10" s="10">
        <f>PropertyTax</f>
      </c>
      <c r="I10" s="10">
        <f>FireInsurance</f>
      </c>
      <c r="J10" s="10">
        <f>OtherMaintenance</f>
      </c>
      <c r="K10" s="10">
        <f>IF(A10&lt;=LoanYears,LoanDeduction,0)</f>
      </c>
      <c r="L10" s="11">
        <f>B10+E10+F10+G10+H10+I10+J10-K10</f>
      </c>
      <c r="M10" s="10">
        <f>M9+L10</f>
      </c>
      <c r="N10" s="10">
        <f>INDEX(ローン返済表!H:H,A10*12+1)</f>
      </c>
    </row>
    <row r="11" spans="1:14" x14ac:dyDescent="0.25">
      <c r="A11">
        <v>9</v>
      </c>
      <c r="B11" s="10">
        <f>SUMIFS(ローン返済表!D:D,ローン返済表!B:B,A11)+SUMIFS(ローン返済表!G:G,ローン返済表!B:B,A11)</f>
      </c>
      <c r="C11" s="10">
        <f>SUMIFS(ローン返済表!E:E,ローン返済表!B:B,A11)</f>
      </c>
      <c r="D11" s="10">
        <f>SUMIFS(ローン返済表!F:F,ローン返済表!B:B,A11)+SUMIFS(ローン返済表!G:G,ローン返済表!B:B,A11)</f>
      </c>
      <c r="E11" s="10">
        <f>MgmtFee*12</f>
      </c>
      <c r="F11" s="10">
        <f>ReserveFee*12</f>
      </c>
      <c r="G11" s="10">
        <f>ParkingFee*12</f>
      </c>
      <c r="H11" s="10">
        <f>PropertyTax</f>
      </c>
      <c r="I11" s="10">
        <f>FireInsurance</f>
      </c>
      <c r="J11" s="10">
        <f>OtherMaintenance</f>
      </c>
      <c r="K11" s="10">
        <f>IF(A11&lt;=LoanYears,LoanDeduction,0)</f>
      </c>
      <c r="L11" s="11">
        <f>B11+E11+F11+G11+H11+I11+J11-K11</f>
      </c>
      <c r="M11" s="10">
        <f>M10+L11</f>
      </c>
      <c r="N11" s="10">
        <f>INDEX(ローン返済表!H:H,A11*12+1)</f>
      </c>
    </row>
    <row r="12" spans="1:14" x14ac:dyDescent="0.25">
      <c r="A12">
        <v>10</v>
      </c>
      <c r="B12" s="10">
        <f>SUMIFS(ローン返済表!D:D,ローン返済表!B:B,A12)+SUMIFS(ローン返済表!G:G,ローン返済表!B:B,A12)</f>
      </c>
      <c r="C12" s="10">
        <f>SUMIFS(ローン返済表!E:E,ローン返済表!B:B,A12)</f>
      </c>
      <c r="D12" s="10">
        <f>SUMIFS(ローン返済表!F:F,ローン返済表!B:B,A12)+SUMIFS(ローン返済表!G:G,ローン返済表!B:B,A12)</f>
      </c>
      <c r="E12" s="10">
        <f>MgmtFee*12</f>
      </c>
      <c r="F12" s="10">
        <f>ReserveFee*12</f>
      </c>
      <c r="G12" s="10">
        <f>ParkingFee*12</f>
      </c>
      <c r="H12" s="10">
        <f>PropertyTax</f>
      </c>
      <c r="I12" s="10">
        <f>FireInsurance</f>
      </c>
      <c r="J12" s="10">
        <f>OtherMaintenance</f>
      </c>
      <c r="K12" s="10">
        <f>IF(A12&lt;=LoanYears,LoanDeduction,0)</f>
      </c>
      <c r="L12" s="11">
        <f>B12+E12+F12+G12+H12+I12+J12-K12</f>
      </c>
      <c r="M12" s="10">
        <f>M11+L12</f>
      </c>
      <c r="N12" s="10">
        <f>INDEX(ローン返済表!H:H,A12*12+1)</f>
      </c>
    </row>
    <row r="13" spans="1:14" x14ac:dyDescent="0.25">
      <c r="A13">
        <v>11</v>
      </c>
      <c r="B13" s="10">
        <f>SUMIFS(ローン返済表!D:D,ローン返済表!B:B,A13)+SUMIFS(ローン返済表!G:G,ローン返済表!B:B,A13)</f>
      </c>
      <c r="C13" s="10">
        <f>SUMIFS(ローン返済表!E:E,ローン返済表!B:B,A13)</f>
      </c>
      <c r="D13" s="10">
        <f>SUMIFS(ローン返済表!F:F,ローン返済表!B:B,A13)+SUMIFS(ローン返済表!G:G,ローン返済表!B:B,A13)</f>
      </c>
      <c r="E13" s="10">
        <f>MgmtFee*12</f>
      </c>
      <c r="F13" s="10">
        <f>ReserveFee*12</f>
      </c>
      <c r="G13" s="10">
        <f>ParkingFee*12</f>
      </c>
      <c r="H13" s="10">
        <f>PropertyTax</f>
      </c>
      <c r="I13" s="10">
        <f>FireInsurance</f>
      </c>
      <c r="J13" s="10">
        <f>OtherMaintenance</f>
      </c>
      <c r="K13" s="10">
        <f>IF(A13&lt;=LoanYears,LoanDeduction,0)</f>
      </c>
      <c r="L13" s="11">
        <f>B13+E13+F13+G13+H13+I13+J13-K13</f>
      </c>
      <c r="M13" s="10">
        <f>M12+L13</f>
      </c>
      <c r="N13" s="10">
        <f>INDEX(ローン返済表!H:H,A13*12+1)</f>
      </c>
    </row>
    <row r="14" spans="1:14" x14ac:dyDescent="0.25">
      <c r="A14">
        <v>12</v>
      </c>
      <c r="B14" s="10">
        <f>SUMIFS(ローン返済表!D:D,ローン返済表!B:B,A14)+SUMIFS(ローン返済表!G:G,ローン返済表!B:B,A14)</f>
      </c>
      <c r="C14" s="10">
        <f>SUMIFS(ローン返済表!E:E,ローン返済表!B:B,A14)</f>
      </c>
      <c r="D14" s="10">
        <f>SUMIFS(ローン返済表!F:F,ローン返済表!B:B,A14)+SUMIFS(ローン返済表!G:G,ローン返済表!B:B,A14)</f>
      </c>
      <c r="E14" s="10">
        <f>MgmtFee*12</f>
      </c>
      <c r="F14" s="10">
        <f>ReserveFee*12</f>
      </c>
      <c r="G14" s="10">
        <f>ParkingFee*12</f>
      </c>
      <c r="H14" s="10">
        <f>PropertyTax</f>
      </c>
      <c r="I14" s="10">
        <f>FireInsurance</f>
      </c>
      <c r="J14" s="10">
        <f>OtherMaintenance</f>
      </c>
      <c r="K14" s="10">
        <f>IF(A14&lt;=LoanYears,LoanDeduction,0)</f>
      </c>
      <c r="L14" s="11">
        <f>B14+E14+F14+G14+H14+I14+J14-K14</f>
      </c>
      <c r="M14" s="10">
        <f>M13+L14</f>
      </c>
      <c r="N14" s="10">
        <f>INDEX(ローン返済表!H:H,A14*12+1)</f>
      </c>
    </row>
    <row r="15" spans="1:14" x14ac:dyDescent="0.25">
      <c r="A15">
        <v>13</v>
      </c>
      <c r="B15" s="10">
        <f>SUMIFS(ローン返済表!D:D,ローン返済表!B:B,A15)+SUMIFS(ローン返済表!G:G,ローン返済表!B:B,A15)</f>
      </c>
      <c r="C15" s="10">
        <f>SUMIFS(ローン返済表!E:E,ローン返済表!B:B,A15)</f>
      </c>
      <c r="D15" s="10">
        <f>SUMIFS(ローン返済表!F:F,ローン返済表!B:B,A15)+SUMIFS(ローン返済表!G:G,ローン返済表!B:B,A15)</f>
      </c>
      <c r="E15" s="10">
        <f>MgmtFee*12</f>
      </c>
      <c r="F15" s="10">
        <f>ReserveFee*12</f>
      </c>
      <c r="G15" s="10">
        <f>ParkingFee*12</f>
      </c>
      <c r="H15" s="10">
        <f>PropertyTax</f>
      </c>
      <c r="I15" s="10">
        <f>FireInsurance</f>
      </c>
      <c r="J15" s="10">
        <f>OtherMaintenance</f>
      </c>
      <c r="K15" s="10">
        <f>IF(A15&lt;=LoanYears,LoanDeduction,0)</f>
      </c>
      <c r="L15" s="11">
        <f>B15+E15+F15+G15+H15+I15+J15-K15</f>
      </c>
      <c r="M15" s="10">
        <f>M14+L15</f>
      </c>
      <c r="N15" s="10">
        <f>INDEX(ローン返済表!H:H,A15*12+1)</f>
      </c>
    </row>
    <row r="16" spans="1:14" x14ac:dyDescent="0.25">
      <c r="A16">
        <v>14</v>
      </c>
      <c r="B16" s="10">
        <f>SUMIFS(ローン返済表!D:D,ローン返済表!B:B,A16)+SUMIFS(ローン返済表!G:G,ローン返済表!B:B,A16)</f>
      </c>
      <c r="C16" s="10">
        <f>SUMIFS(ローン返済表!E:E,ローン返済表!B:B,A16)</f>
      </c>
      <c r="D16" s="10">
        <f>SUMIFS(ローン返済表!F:F,ローン返済表!B:B,A16)+SUMIFS(ローン返済表!G:G,ローン返済表!B:B,A16)</f>
      </c>
      <c r="E16" s="10">
        <f>MgmtFee*12</f>
      </c>
      <c r="F16" s="10">
        <f>ReserveFee*12</f>
      </c>
      <c r="G16" s="10">
        <f>ParkingFee*12</f>
      </c>
      <c r="H16" s="10">
        <f>PropertyTax</f>
      </c>
      <c r="I16" s="10">
        <f>FireInsurance</f>
      </c>
      <c r="J16" s="10">
        <f>OtherMaintenance</f>
      </c>
      <c r="K16" s="10">
        <f>IF(A16&lt;=LoanYears,LoanDeduction,0)</f>
      </c>
      <c r="L16" s="11">
        <f>B16+E16+F16+G16+H16+I16+J16-K16</f>
      </c>
      <c r="M16" s="10">
        <f>M15+L16</f>
      </c>
      <c r="N16" s="10">
        <f>INDEX(ローン返済表!H:H,A16*12+1)</f>
      </c>
    </row>
    <row r="17" spans="1:14" x14ac:dyDescent="0.25">
      <c r="A17">
        <v>15</v>
      </c>
      <c r="B17" s="10">
        <f>SUMIFS(ローン返済表!D:D,ローン返済表!B:B,A17)+SUMIFS(ローン返済表!G:G,ローン返済表!B:B,A17)</f>
      </c>
      <c r="C17" s="10">
        <f>SUMIFS(ローン返済表!E:E,ローン返済表!B:B,A17)</f>
      </c>
      <c r="D17" s="10">
        <f>SUMIFS(ローン返済表!F:F,ローン返済表!B:B,A17)+SUMIFS(ローン返済表!G:G,ローン返済表!B:B,A17)</f>
      </c>
      <c r="E17" s="10">
        <f>MgmtFee*12</f>
      </c>
      <c r="F17" s="10">
        <f>ReserveFee*12</f>
      </c>
      <c r="G17" s="10">
        <f>ParkingFee*12</f>
      </c>
      <c r="H17" s="10">
        <f>PropertyTax</f>
      </c>
      <c r="I17" s="10">
        <f>FireInsurance</f>
      </c>
      <c r="J17" s="10">
        <f>OtherMaintenance</f>
      </c>
      <c r="K17" s="10">
        <f>IF(A17&lt;=LoanYears,LoanDeduction,0)</f>
      </c>
      <c r="L17" s="11">
        <f>B17+E17+F17+G17+H17+I17+J17-K17</f>
      </c>
      <c r="M17" s="10">
        <f>M16+L17</f>
      </c>
      <c r="N17" s="10">
        <f>INDEX(ローン返済表!H:H,A17*12+1)</f>
      </c>
    </row>
    <row r="18" spans="1:14" x14ac:dyDescent="0.25">
      <c r="A18">
        <v>16</v>
      </c>
      <c r="B18" s="10">
        <f>SUMIFS(ローン返済表!D:D,ローン返済表!B:B,A18)+SUMIFS(ローン返済表!G:G,ローン返済表!B:B,A18)</f>
      </c>
      <c r="C18" s="10">
        <f>SUMIFS(ローン返済表!E:E,ローン返済表!B:B,A18)</f>
      </c>
      <c r="D18" s="10">
        <f>SUMIFS(ローン返済表!F:F,ローン返済表!B:B,A18)+SUMIFS(ローン返済表!G:G,ローン返済表!B:B,A18)</f>
      </c>
      <c r="E18" s="10">
        <f>MgmtFee*12</f>
      </c>
      <c r="F18" s="10">
        <f>ReserveFee*12</f>
      </c>
      <c r="G18" s="10">
        <f>ParkingFee*12</f>
      </c>
      <c r="H18" s="10">
        <f>PropertyTax</f>
      </c>
      <c r="I18" s="10">
        <f>FireInsurance</f>
      </c>
      <c r="J18" s="10">
        <f>OtherMaintenance</f>
      </c>
      <c r="K18" s="10">
        <f>IF(A18&lt;=LoanYears,LoanDeduction,0)</f>
      </c>
      <c r="L18" s="11">
        <f>B18+E18+F18+G18+H18+I18+J18-K18</f>
      </c>
      <c r="M18" s="10">
        <f>M17+L18</f>
      </c>
      <c r="N18" s="10">
        <f>INDEX(ローン返済表!H:H,A18*12+1)</f>
      </c>
    </row>
    <row r="19" spans="1:14" x14ac:dyDescent="0.25">
      <c r="A19">
        <v>17</v>
      </c>
      <c r="B19" s="10">
        <f>SUMIFS(ローン返済表!D:D,ローン返済表!B:B,A19)+SUMIFS(ローン返済表!G:G,ローン返済表!B:B,A19)</f>
      </c>
      <c r="C19" s="10">
        <f>SUMIFS(ローン返済表!E:E,ローン返済表!B:B,A19)</f>
      </c>
      <c r="D19" s="10">
        <f>SUMIFS(ローン返済表!F:F,ローン返済表!B:B,A19)+SUMIFS(ローン返済表!G:G,ローン返済表!B:B,A19)</f>
      </c>
      <c r="E19" s="10">
        <f>MgmtFee*12</f>
      </c>
      <c r="F19" s="10">
        <f>ReserveFee*12</f>
      </c>
      <c r="G19" s="10">
        <f>ParkingFee*12</f>
      </c>
      <c r="H19" s="10">
        <f>PropertyTax</f>
      </c>
      <c r="I19" s="10">
        <f>FireInsurance</f>
      </c>
      <c r="J19" s="10">
        <f>OtherMaintenance</f>
      </c>
      <c r="K19" s="10">
        <f>IF(A19&lt;=LoanYears,LoanDeduction,0)</f>
      </c>
      <c r="L19" s="11">
        <f>B19+E19+F19+G19+H19+I19+J19-K19</f>
      </c>
      <c r="M19" s="10">
        <f>M18+L19</f>
      </c>
      <c r="N19" s="10">
        <f>INDEX(ローン返済表!H:H,A19*12+1)</f>
      </c>
    </row>
    <row r="20" spans="1:14" x14ac:dyDescent="0.25">
      <c r="A20">
        <v>18</v>
      </c>
      <c r="B20" s="10">
        <f>SUMIFS(ローン返済表!D:D,ローン返済表!B:B,A20)+SUMIFS(ローン返済表!G:G,ローン返済表!B:B,A20)</f>
      </c>
      <c r="C20" s="10">
        <f>SUMIFS(ローン返済表!E:E,ローン返済表!B:B,A20)</f>
      </c>
      <c r="D20" s="10">
        <f>SUMIFS(ローン返済表!F:F,ローン返済表!B:B,A20)+SUMIFS(ローン返済表!G:G,ローン返済表!B:B,A20)</f>
      </c>
      <c r="E20" s="10">
        <f>MgmtFee*12</f>
      </c>
      <c r="F20" s="10">
        <f>ReserveFee*12</f>
      </c>
      <c r="G20" s="10">
        <f>ParkingFee*12</f>
      </c>
      <c r="H20" s="10">
        <f>PropertyTax</f>
      </c>
      <c r="I20" s="10">
        <f>FireInsurance</f>
      </c>
      <c r="J20" s="10">
        <f>OtherMaintenance</f>
      </c>
      <c r="K20" s="10">
        <f>IF(A20&lt;=LoanYears,LoanDeduction,0)</f>
      </c>
      <c r="L20" s="11">
        <f>B20+E20+F20+G20+H20+I20+J20-K20</f>
      </c>
      <c r="M20" s="10">
        <f>M19+L20</f>
      </c>
      <c r="N20" s="10">
        <f>INDEX(ローン返済表!H:H,A20*12+1)</f>
      </c>
    </row>
    <row r="21" spans="1:14" x14ac:dyDescent="0.25">
      <c r="A21">
        <v>19</v>
      </c>
      <c r="B21" s="10">
        <f>SUMIFS(ローン返済表!D:D,ローン返済表!B:B,A21)+SUMIFS(ローン返済表!G:G,ローン返済表!B:B,A21)</f>
      </c>
      <c r="C21" s="10">
        <f>SUMIFS(ローン返済表!E:E,ローン返済表!B:B,A21)</f>
      </c>
      <c r="D21" s="10">
        <f>SUMIFS(ローン返済表!F:F,ローン返済表!B:B,A21)+SUMIFS(ローン返済表!G:G,ローン返済表!B:B,A21)</f>
      </c>
      <c r="E21" s="10">
        <f>MgmtFee*12</f>
      </c>
      <c r="F21" s="10">
        <f>ReserveFee*12</f>
      </c>
      <c r="G21" s="10">
        <f>ParkingFee*12</f>
      </c>
      <c r="H21" s="10">
        <f>PropertyTax</f>
      </c>
      <c r="I21" s="10">
        <f>FireInsurance</f>
      </c>
      <c r="J21" s="10">
        <f>OtherMaintenance</f>
      </c>
      <c r="K21" s="10">
        <f>IF(A21&lt;=LoanYears,LoanDeduction,0)</f>
      </c>
      <c r="L21" s="11">
        <f>B21+E21+F21+G21+H21+I21+J21-K21</f>
      </c>
      <c r="M21" s="10">
        <f>M20+L21</f>
      </c>
      <c r="N21" s="10">
        <f>INDEX(ローン返済表!H:H,A21*12+1)</f>
      </c>
    </row>
    <row r="22" spans="1:14" x14ac:dyDescent="0.25">
      <c r="A22">
        <v>20</v>
      </c>
      <c r="B22" s="10">
        <f>SUMIFS(ローン返済表!D:D,ローン返済表!B:B,A22)+SUMIFS(ローン返済表!G:G,ローン返済表!B:B,A22)</f>
      </c>
      <c r="C22" s="10">
        <f>SUMIFS(ローン返済表!E:E,ローン返済表!B:B,A22)</f>
      </c>
      <c r="D22" s="10">
        <f>SUMIFS(ローン返済表!F:F,ローン返済表!B:B,A22)+SUMIFS(ローン返済表!G:G,ローン返済表!B:B,A22)</f>
      </c>
      <c r="E22" s="10">
        <f>MgmtFee*12</f>
      </c>
      <c r="F22" s="10">
        <f>ReserveFee*12</f>
      </c>
      <c r="G22" s="10">
        <f>ParkingFee*12</f>
      </c>
      <c r="H22" s="10">
        <f>PropertyTax</f>
      </c>
      <c r="I22" s="10">
        <f>FireInsurance</f>
      </c>
      <c r="J22" s="10">
        <f>OtherMaintenance</f>
      </c>
      <c r="K22" s="10">
        <f>IF(A22&lt;=LoanYears,LoanDeduction,0)</f>
      </c>
      <c r="L22" s="11">
        <f>B22+E22+F22+G22+H22+I22+J22-K22</f>
      </c>
      <c r="M22" s="10">
        <f>M21+L22</f>
      </c>
      <c r="N22" s="10">
        <f>INDEX(ローン返済表!H:H,A22*12+1)</f>
      </c>
    </row>
    <row r="23" spans="1:14" x14ac:dyDescent="0.25">
      <c r="A23">
        <v>21</v>
      </c>
      <c r="B23" s="10">
        <f>SUMIFS(ローン返済表!D:D,ローン返済表!B:B,A23)+SUMIFS(ローン返済表!G:G,ローン返済表!B:B,A23)</f>
      </c>
      <c r="C23" s="10">
        <f>SUMIFS(ローン返済表!E:E,ローン返済表!B:B,A23)</f>
      </c>
      <c r="D23" s="10">
        <f>SUMIFS(ローン返済表!F:F,ローン返済表!B:B,A23)+SUMIFS(ローン返済表!G:G,ローン返済表!B:B,A23)</f>
      </c>
      <c r="E23" s="10">
        <f>MgmtFee*12</f>
      </c>
      <c r="F23" s="10">
        <f>ReserveFee*12</f>
      </c>
      <c r="G23" s="10">
        <f>ParkingFee*12</f>
      </c>
      <c r="H23" s="10">
        <f>PropertyTax</f>
      </c>
      <c r="I23" s="10">
        <f>FireInsurance</f>
      </c>
      <c r="J23" s="10">
        <f>OtherMaintenance</f>
      </c>
      <c r="K23" s="10">
        <f>IF(A23&lt;=LoanYears,LoanDeduction,0)</f>
      </c>
      <c r="L23" s="11">
        <f>B23+E23+F23+G23+H23+I23+J23-K23</f>
      </c>
      <c r="M23" s="10">
        <f>M22+L23</f>
      </c>
      <c r="N23" s="10">
        <f>INDEX(ローン返済表!H:H,A23*12+1)</f>
      </c>
    </row>
    <row r="24" spans="1:14" x14ac:dyDescent="0.25">
      <c r="A24">
        <v>22</v>
      </c>
      <c r="B24" s="10">
        <f>SUMIFS(ローン返済表!D:D,ローン返済表!B:B,A24)+SUMIFS(ローン返済表!G:G,ローン返済表!B:B,A24)</f>
      </c>
      <c r="C24" s="10">
        <f>SUMIFS(ローン返済表!E:E,ローン返済表!B:B,A24)</f>
      </c>
      <c r="D24" s="10">
        <f>SUMIFS(ローン返済表!F:F,ローン返済表!B:B,A24)+SUMIFS(ローン返済表!G:G,ローン返済表!B:B,A24)</f>
      </c>
      <c r="E24" s="10">
        <f>MgmtFee*12</f>
      </c>
      <c r="F24" s="10">
        <f>ReserveFee*12</f>
      </c>
      <c r="G24" s="10">
        <f>ParkingFee*12</f>
      </c>
      <c r="H24" s="10">
        <f>PropertyTax</f>
      </c>
      <c r="I24" s="10">
        <f>FireInsurance</f>
      </c>
      <c r="J24" s="10">
        <f>OtherMaintenance</f>
      </c>
      <c r="K24" s="10">
        <f>IF(A24&lt;=LoanYears,LoanDeduction,0)</f>
      </c>
      <c r="L24" s="11">
        <f>B24+E24+F24+G24+H24+I24+J24-K24</f>
      </c>
      <c r="M24" s="10">
        <f>M23+L24</f>
      </c>
      <c r="N24" s="10">
        <f>INDEX(ローン返済表!H:H,A24*12+1)</f>
      </c>
    </row>
    <row r="25" spans="1:14" x14ac:dyDescent="0.25">
      <c r="A25">
        <v>23</v>
      </c>
      <c r="B25" s="10">
        <f>SUMIFS(ローン返済表!D:D,ローン返済表!B:B,A25)+SUMIFS(ローン返済表!G:G,ローン返済表!B:B,A25)</f>
      </c>
      <c r="C25" s="10">
        <f>SUMIFS(ローン返済表!E:E,ローン返済表!B:B,A25)</f>
      </c>
      <c r="D25" s="10">
        <f>SUMIFS(ローン返済表!F:F,ローン返済表!B:B,A25)+SUMIFS(ローン返済表!G:G,ローン返済表!B:B,A25)</f>
      </c>
      <c r="E25" s="10">
        <f>MgmtFee*12</f>
      </c>
      <c r="F25" s="10">
        <f>ReserveFee*12</f>
      </c>
      <c r="G25" s="10">
        <f>ParkingFee*12</f>
      </c>
      <c r="H25" s="10">
        <f>PropertyTax</f>
      </c>
      <c r="I25" s="10">
        <f>FireInsurance</f>
      </c>
      <c r="J25" s="10">
        <f>OtherMaintenance</f>
      </c>
      <c r="K25" s="10">
        <f>IF(A25&lt;=LoanYears,LoanDeduction,0)</f>
      </c>
      <c r="L25" s="11">
        <f>B25+E25+F25+G25+H25+I25+J25-K25</f>
      </c>
      <c r="M25" s="10">
        <f>M24+L25</f>
      </c>
      <c r="N25" s="10">
        <f>INDEX(ローン返済表!H:H,A25*12+1)</f>
      </c>
    </row>
    <row r="26" spans="1:14" x14ac:dyDescent="0.25">
      <c r="A26">
        <v>24</v>
      </c>
      <c r="B26" s="10">
        <f>SUMIFS(ローン返済表!D:D,ローン返済表!B:B,A26)+SUMIFS(ローン返済表!G:G,ローン返済表!B:B,A26)</f>
      </c>
      <c r="C26" s="10">
        <f>SUMIFS(ローン返済表!E:E,ローン返済表!B:B,A26)</f>
      </c>
      <c r="D26" s="10">
        <f>SUMIFS(ローン返済表!F:F,ローン返済表!B:B,A26)+SUMIFS(ローン返済表!G:G,ローン返済表!B:B,A26)</f>
      </c>
      <c r="E26" s="10">
        <f>MgmtFee*12</f>
      </c>
      <c r="F26" s="10">
        <f>ReserveFee*12</f>
      </c>
      <c r="G26" s="10">
        <f>ParkingFee*12</f>
      </c>
      <c r="H26" s="10">
        <f>PropertyTax</f>
      </c>
      <c r="I26" s="10">
        <f>FireInsurance</f>
      </c>
      <c r="J26" s="10">
        <f>OtherMaintenance</f>
      </c>
      <c r="K26" s="10">
        <f>IF(A26&lt;=LoanYears,LoanDeduction,0)</f>
      </c>
      <c r="L26" s="11">
        <f>B26+E26+F26+G26+H26+I26+J26-K26</f>
      </c>
      <c r="M26" s="10">
        <f>M25+L26</f>
      </c>
      <c r="N26" s="10">
        <f>INDEX(ローン返済表!H:H,A26*12+1)</f>
      </c>
    </row>
    <row r="27" spans="1:14" x14ac:dyDescent="0.25">
      <c r="A27">
        <v>25</v>
      </c>
      <c r="B27" s="10">
        <f>SUMIFS(ローン返済表!D:D,ローン返済表!B:B,A27)+SUMIFS(ローン返済表!G:G,ローン返済表!B:B,A27)</f>
      </c>
      <c r="C27" s="10">
        <f>SUMIFS(ローン返済表!E:E,ローン返済表!B:B,A27)</f>
      </c>
      <c r="D27" s="10">
        <f>SUMIFS(ローン返済表!F:F,ローン返済表!B:B,A27)+SUMIFS(ローン返済表!G:G,ローン返済表!B:B,A27)</f>
      </c>
      <c r="E27" s="10">
        <f>MgmtFee*12</f>
      </c>
      <c r="F27" s="10">
        <f>ReserveFee*12</f>
      </c>
      <c r="G27" s="10">
        <f>ParkingFee*12</f>
      </c>
      <c r="H27" s="10">
        <f>PropertyTax</f>
      </c>
      <c r="I27" s="10">
        <f>FireInsurance</f>
      </c>
      <c r="J27" s="10">
        <f>OtherMaintenance</f>
      </c>
      <c r="K27" s="10">
        <f>IF(A27&lt;=LoanYears,LoanDeduction,0)</f>
      </c>
      <c r="L27" s="11">
        <f>B27+E27+F27+G27+H27+I27+J27-K27</f>
      </c>
      <c r="M27" s="10">
        <f>M26+L27</f>
      </c>
      <c r="N27" s="10">
        <f>INDEX(ローン返済表!H:H,A27*12+1)</f>
      </c>
    </row>
    <row r="28" spans="1:14" x14ac:dyDescent="0.25">
      <c r="A28">
        <v>26</v>
      </c>
      <c r="B28" s="10">
        <f>SUMIFS(ローン返済表!D:D,ローン返済表!B:B,A28)+SUMIFS(ローン返済表!G:G,ローン返済表!B:B,A28)</f>
      </c>
      <c r="C28" s="10">
        <f>SUMIFS(ローン返済表!E:E,ローン返済表!B:B,A28)</f>
      </c>
      <c r="D28" s="10">
        <f>SUMIFS(ローン返済表!F:F,ローン返済表!B:B,A28)+SUMIFS(ローン返済表!G:G,ローン返済表!B:B,A28)</f>
      </c>
      <c r="E28" s="10">
        <f>MgmtFee*12</f>
      </c>
      <c r="F28" s="10">
        <f>ReserveFee*12</f>
      </c>
      <c r="G28" s="10">
        <f>ParkingFee*12</f>
      </c>
      <c r="H28" s="10">
        <f>PropertyTax</f>
      </c>
      <c r="I28" s="10">
        <f>FireInsurance</f>
      </c>
      <c r="J28" s="10">
        <f>OtherMaintenance</f>
      </c>
      <c r="K28" s="10">
        <f>IF(A28&lt;=LoanYears,LoanDeduction,0)</f>
      </c>
      <c r="L28" s="11">
        <f>B28+E28+F28+G28+H28+I28+J28-K28</f>
      </c>
      <c r="M28" s="10">
        <f>M27+L28</f>
      </c>
      <c r="N28" s="10">
        <f>INDEX(ローン返済表!H:H,A28*12+1)</f>
      </c>
    </row>
    <row r="29" spans="1:14" x14ac:dyDescent="0.25">
      <c r="A29">
        <v>27</v>
      </c>
      <c r="B29" s="10">
        <f>SUMIFS(ローン返済表!D:D,ローン返済表!B:B,A29)+SUMIFS(ローン返済表!G:G,ローン返済表!B:B,A29)</f>
      </c>
      <c r="C29" s="10">
        <f>SUMIFS(ローン返済表!E:E,ローン返済表!B:B,A29)</f>
      </c>
      <c r="D29" s="10">
        <f>SUMIFS(ローン返済表!F:F,ローン返済表!B:B,A29)+SUMIFS(ローン返済表!G:G,ローン返済表!B:B,A29)</f>
      </c>
      <c r="E29" s="10">
        <f>MgmtFee*12</f>
      </c>
      <c r="F29" s="10">
        <f>ReserveFee*12</f>
      </c>
      <c r="G29" s="10">
        <f>ParkingFee*12</f>
      </c>
      <c r="H29" s="10">
        <f>PropertyTax</f>
      </c>
      <c r="I29" s="10">
        <f>FireInsurance</f>
      </c>
      <c r="J29" s="10">
        <f>OtherMaintenance</f>
      </c>
      <c r="K29" s="10">
        <f>IF(A29&lt;=LoanYears,LoanDeduction,0)</f>
      </c>
      <c r="L29" s="11">
        <f>B29+E29+F29+G29+H29+I29+J29-K29</f>
      </c>
      <c r="M29" s="10">
        <f>M28+L29</f>
      </c>
      <c r="N29" s="10">
        <f>INDEX(ローン返済表!H:H,A29*12+1)</f>
      </c>
    </row>
    <row r="30" spans="1:14" x14ac:dyDescent="0.25">
      <c r="A30">
        <v>28</v>
      </c>
      <c r="B30" s="10">
        <f>SUMIFS(ローン返済表!D:D,ローン返済表!B:B,A30)+SUMIFS(ローン返済表!G:G,ローン返済表!B:B,A30)</f>
      </c>
      <c r="C30" s="10">
        <f>SUMIFS(ローン返済表!E:E,ローン返済表!B:B,A30)</f>
      </c>
      <c r="D30" s="10">
        <f>SUMIFS(ローン返済表!F:F,ローン返済表!B:B,A30)+SUMIFS(ローン返済表!G:G,ローン返済表!B:B,A30)</f>
      </c>
      <c r="E30" s="10">
        <f>MgmtFee*12</f>
      </c>
      <c r="F30" s="10">
        <f>ReserveFee*12</f>
      </c>
      <c r="G30" s="10">
        <f>ParkingFee*12</f>
      </c>
      <c r="H30" s="10">
        <f>PropertyTax</f>
      </c>
      <c r="I30" s="10">
        <f>FireInsurance</f>
      </c>
      <c r="J30" s="10">
        <f>OtherMaintenance</f>
      </c>
      <c r="K30" s="10">
        <f>IF(A30&lt;=LoanYears,LoanDeduction,0)</f>
      </c>
      <c r="L30" s="11">
        <f>B30+E30+F30+G30+H30+I30+J30-K30</f>
      </c>
      <c r="M30" s="10">
        <f>M29+L30</f>
      </c>
      <c r="N30" s="10">
        <f>INDEX(ローン返済表!H:H,A30*12+1)</f>
      </c>
    </row>
    <row r="31" spans="1:14" x14ac:dyDescent="0.25">
      <c r="A31">
        <v>29</v>
      </c>
      <c r="B31" s="10">
        <f>SUMIFS(ローン返済表!D:D,ローン返済表!B:B,A31)+SUMIFS(ローン返済表!G:G,ローン返済表!B:B,A31)</f>
      </c>
      <c r="C31" s="10">
        <f>SUMIFS(ローン返済表!E:E,ローン返済表!B:B,A31)</f>
      </c>
      <c r="D31" s="10">
        <f>SUMIFS(ローン返済表!F:F,ローン返済表!B:B,A31)+SUMIFS(ローン返済表!G:G,ローン返済表!B:B,A31)</f>
      </c>
      <c r="E31" s="10">
        <f>MgmtFee*12</f>
      </c>
      <c r="F31" s="10">
        <f>ReserveFee*12</f>
      </c>
      <c r="G31" s="10">
        <f>ParkingFee*12</f>
      </c>
      <c r="H31" s="10">
        <f>PropertyTax</f>
      </c>
      <c r="I31" s="10">
        <f>FireInsurance</f>
      </c>
      <c r="J31" s="10">
        <f>OtherMaintenance</f>
      </c>
      <c r="K31" s="10">
        <f>IF(A31&lt;=LoanYears,LoanDeduction,0)</f>
      </c>
      <c r="L31" s="11">
        <f>B31+E31+F31+G31+H31+I31+J31-K31</f>
      </c>
      <c r="M31" s="10">
        <f>M30+L31</f>
      </c>
      <c r="N31" s="10">
        <f>INDEX(ローン返済表!H:H,A31*12+1)</f>
      </c>
    </row>
    <row r="32" spans="1:14" x14ac:dyDescent="0.25">
      <c r="A32">
        <v>30</v>
      </c>
      <c r="B32" s="10">
        <f>SUMIFS(ローン返済表!D:D,ローン返済表!B:B,A32)+SUMIFS(ローン返済表!G:G,ローン返済表!B:B,A32)</f>
      </c>
      <c r="C32" s="10">
        <f>SUMIFS(ローン返済表!E:E,ローン返済表!B:B,A32)</f>
      </c>
      <c r="D32" s="10">
        <f>SUMIFS(ローン返済表!F:F,ローン返済表!B:B,A32)+SUMIFS(ローン返済表!G:G,ローン返済表!B:B,A32)</f>
      </c>
      <c r="E32" s="10">
        <f>MgmtFee*12</f>
      </c>
      <c r="F32" s="10">
        <f>ReserveFee*12</f>
      </c>
      <c r="G32" s="10">
        <f>ParkingFee*12</f>
      </c>
      <c r="H32" s="10">
        <f>PropertyTax</f>
      </c>
      <c r="I32" s="10">
        <f>FireInsurance</f>
      </c>
      <c r="J32" s="10">
        <f>OtherMaintenance</f>
      </c>
      <c r="K32" s="10">
        <f>IF(A32&lt;=LoanYears,LoanDeduction,0)</f>
      </c>
      <c r="L32" s="11">
        <f>B32+E32+F32+G32+H32+I32+J32-K32</f>
      </c>
      <c r="M32" s="10">
        <f>M31+L32</f>
      </c>
      <c r="N32" s="10">
        <f>INDEX(ローン返済表!H:H,A32*12+1)</f>
      </c>
    </row>
    <row r="33" spans="1:14" x14ac:dyDescent="0.25">
      <c r="A33">
        <v>31</v>
      </c>
      <c r="B33" s="10">
        <f>SUMIFS(ローン返済表!D:D,ローン返済表!B:B,A33)+SUMIFS(ローン返済表!G:G,ローン返済表!B:B,A33)</f>
      </c>
      <c r="C33" s="10">
        <f>SUMIFS(ローン返済表!E:E,ローン返済表!B:B,A33)</f>
      </c>
      <c r="D33" s="10">
        <f>SUMIFS(ローン返済表!F:F,ローン返済表!B:B,A33)+SUMIFS(ローン返済表!G:G,ローン返済表!B:B,A33)</f>
      </c>
      <c r="E33" s="10">
        <f>MgmtFee*12</f>
      </c>
      <c r="F33" s="10">
        <f>ReserveFee*12</f>
      </c>
      <c r="G33" s="10">
        <f>ParkingFee*12</f>
      </c>
      <c r="H33" s="10">
        <f>PropertyTax</f>
      </c>
      <c r="I33" s="10">
        <f>FireInsurance</f>
      </c>
      <c r="J33" s="10">
        <f>OtherMaintenance</f>
      </c>
      <c r="K33" s="10">
        <f>IF(A33&lt;=LoanYears,LoanDeduction,0)</f>
      </c>
      <c r="L33" s="11">
        <f>B33+E33+F33+G33+H33+I33+J33-K33</f>
      </c>
      <c r="M33" s="10">
        <f>M32+L33</f>
      </c>
      <c r="N33" s="10">
        <f>INDEX(ローン返済表!H:H,A33*12+1)</f>
      </c>
    </row>
    <row r="34" spans="1:14" x14ac:dyDescent="0.25">
      <c r="A34">
        <v>32</v>
      </c>
      <c r="B34" s="10">
        <f>SUMIFS(ローン返済表!D:D,ローン返済表!B:B,A34)+SUMIFS(ローン返済表!G:G,ローン返済表!B:B,A34)</f>
      </c>
      <c r="C34" s="10">
        <f>SUMIFS(ローン返済表!E:E,ローン返済表!B:B,A34)</f>
      </c>
      <c r="D34" s="10">
        <f>SUMIFS(ローン返済表!F:F,ローン返済表!B:B,A34)+SUMIFS(ローン返済表!G:G,ローン返済表!B:B,A34)</f>
      </c>
      <c r="E34" s="10">
        <f>MgmtFee*12</f>
      </c>
      <c r="F34" s="10">
        <f>ReserveFee*12</f>
      </c>
      <c r="G34" s="10">
        <f>ParkingFee*12</f>
      </c>
      <c r="H34" s="10">
        <f>PropertyTax</f>
      </c>
      <c r="I34" s="10">
        <f>FireInsurance</f>
      </c>
      <c r="J34" s="10">
        <f>OtherMaintenance</f>
      </c>
      <c r="K34" s="10">
        <f>IF(A34&lt;=LoanYears,LoanDeduction,0)</f>
      </c>
      <c r="L34" s="11">
        <f>B34+E34+F34+G34+H34+I34+J34-K34</f>
      </c>
      <c r="M34" s="10">
        <f>M33+L34</f>
      </c>
      <c r="N34" s="10">
        <f>INDEX(ローン返済表!H:H,A34*12+1)</f>
      </c>
    </row>
    <row r="35" spans="1:14" x14ac:dyDescent="0.25">
      <c r="A35">
        <v>33</v>
      </c>
      <c r="B35" s="10">
        <f>SUMIFS(ローン返済表!D:D,ローン返済表!B:B,A35)+SUMIFS(ローン返済表!G:G,ローン返済表!B:B,A35)</f>
      </c>
      <c r="C35" s="10">
        <f>SUMIFS(ローン返済表!E:E,ローン返済表!B:B,A35)</f>
      </c>
      <c r="D35" s="10">
        <f>SUMIFS(ローン返済表!F:F,ローン返済表!B:B,A35)+SUMIFS(ローン返済表!G:G,ローン返済表!B:B,A35)</f>
      </c>
      <c r="E35" s="10">
        <f>MgmtFee*12</f>
      </c>
      <c r="F35" s="10">
        <f>ReserveFee*12</f>
      </c>
      <c r="G35" s="10">
        <f>ParkingFee*12</f>
      </c>
      <c r="H35" s="10">
        <f>PropertyTax</f>
      </c>
      <c r="I35" s="10">
        <f>FireInsurance</f>
      </c>
      <c r="J35" s="10">
        <f>OtherMaintenance</f>
      </c>
      <c r="K35" s="10">
        <f>IF(A35&lt;=LoanYears,LoanDeduction,0)</f>
      </c>
      <c r="L35" s="11">
        <f>B35+E35+F35+G35+H35+I35+J35-K35</f>
      </c>
      <c r="M35" s="10">
        <f>M34+L35</f>
      </c>
      <c r="N35" s="10">
        <f>INDEX(ローン返済表!H:H,A35*12+1)</f>
      </c>
    </row>
    <row r="36" spans="1:14" x14ac:dyDescent="0.25">
      <c r="A36">
        <v>34</v>
      </c>
      <c r="B36" s="10">
        <f>SUMIFS(ローン返済表!D:D,ローン返済表!B:B,A36)+SUMIFS(ローン返済表!G:G,ローン返済表!B:B,A36)</f>
      </c>
      <c r="C36" s="10">
        <f>SUMIFS(ローン返済表!E:E,ローン返済表!B:B,A36)</f>
      </c>
      <c r="D36" s="10">
        <f>SUMIFS(ローン返済表!F:F,ローン返済表!B:B,A36)+SUMIFS(ローン返済表!G:G,ローン返済表!B:B,A36)</f>
      </c>
      <c r="E36" s="10">
        <f>MgmtFee*12</f>
      </c>
      <c r="F36" s="10">
        <f>ReserveFee*12</f>
      </c>
      <c r="G36" s="10">
        <f>ParkingFee*12</f>
      </c>
      <c r="H36" s="10">
        <f>PropertyTax</f>
      </c>
      <c r="I36" s="10">
        <f>FireInsurance</f>
      </c>
      <c r="J36" s="10">
        <f>OtherMaintenance</f>
      </c>
      <c r="K36" s="10">
        <f>IF(A36&lt;=LoanYears,LoanDeduction,0)</f>
      </c>
      <c r="L36" s="11">
        <f>B36+E36+F36+G36+H36+I36+J36-K36</f>
      </c>
      <c r="M36" s="10">
        <f>M35+L36</f>
      </c>
      <c r="N36" s="10">
        <f>INDEX(ローン返済表!H:H,A36*12+1)</f>
      </c>
    </row>
    <row r="37" spans="1:14" x14ac:dyDescent="0.25">
      <c r="A37">
        <v>35</v>
      </c>
      <c r="B37" s="10">
        <f>SUMIFS(ローン返済表!D:D,ローン返済表!B:B,A37)+SUMIFS(ローン返済表!G:G,ローン返済表!B:B,A37)</f>
      </c>
      <c r="C37" s="10">
        <f>SUMIFS(ローン返済表!E:E,ローン返済表!B:B,A37)</f>
      </c>
      <c r="D37" s="10">
        <f>SUMIFS(ローン返済表!F:F,ローン返済表!B:B,A37)+SUMIFS(ローン返済表!G:G,ローン返済表!B:B,A37)</f>
      </c>
      <c r="E37" s="10">
        <f>MgmtFee*12</f>
      </c>
      <c r="F37" s="10">
        <f>ReserveFee*12</f>
      </c>
      <c r="G37" s="10">
        <f>ParkingFee*12</f>
      </c>
      <c r="H37" s="10">
        <f>PropertyTax</f>
      </c>
      <c r="I37" s="10">
        <f>FireInsurance</f>
      </c>
      <c r="J37" s="10">
        <f>OtherMaintenance</f>
      </c>
      <c r="K37" s="10">
        <f>IF(A37&lt;=LoanYears,LoanDeduction,0)</f>
      </c>
      <c r="L37" s="11">
        <f>B37+E37+F37+G37+H37+I37+J37-K37</f>
      </c>
      <c r="M37" s="10">
        <f>M36+L37</f>
      </c>
      <c r="N37" s="10">
        <f>INDEX(ローン返済表!H:H,A37*12+1)</f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C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50" customWidth="1"/>
  </cols>
  <sheetData>
    <row r="1" ht="24" customHeight="1" spans="1:3" x14ac:dyDescent="0.25">
      <c r="A1" s="1" t="s">
        <v>78</v>
      </c>
      <c r="B1" s="1"/>
      <c r="C1" s="1"/>
    </row>
    <row r="2" ht="24" customHeight="1" spans="1:3" x14ac:dyDescent="0.25">
      <c r="A2" s="2" t="s">
        <v>1</v>
      </c>
      <c r="B2" s="2" t="s">
        <v>79</v>
      </c>
      <c r="C2" s="2" t="s">
        <v>4</v>
      </c>
    </row>
    <row r="3" spans="1:3" x14ac:dyDescent="0.25">
      <c r="A3" s="3" t="s">
        <v>80</v>
      </c>
      <c r="B3" s="12">
        <f>SalePrice</f>
      </c>
      <c r="C3" s="5" t="s">
        <v>81</v>
      </c>
    </row>
    <row r="4" spans="1:3" x14ac:dyDescent="0.25">
      <c r="A4" s="3" t="s">
        <v>82</v>
      </c>
      <c r="B4" s="12">
        <f>SalePrice*SaleFeeRate</f>
      </c>
      <c r="C4" s="5" t="s">
        <v>83</v>
      </c>
    </row>
    <row r="5" spans="1:3" x14ac:dyDescent="0.25">
      <c r="A5" s="3" t="s">
        <v>46</v>
      </c>
      <c r="B5" s="12">
        <f>SaleOtherCost</f>
      </c>
      <c r="C5" s="5" t="s">
        <v>84</v>
      </c>
    </row>
    <row r="6" spans="1:3" x14ac:dyDescent="0.25">
      <c r="A6" s="3" t="s">
        <v>85</v>
      </c>
      <c r="B6" s="12">
        <f>INDEX(ローン返済表!H:H,HoldYears*12+1)</f>
      </c>
      <c r="C6" s="5" t="s">
        <v>86</v>
      </c>
    </row>
    <row r="7" spans="1:3" x14ac:dyDescent="0.25">
      <c r="A7" s="3" t="s">
        <v>87</v>
      </c>
      <c r="B7" s="13">
        <f>B3-B4-B5-B6</f>
      </c>
      <c r="C7" s="5" t="s">
        <v>88</v>
      </c>
    </row>
    <row r="8" spans="1:3" x14ac:dyDescent="0.25">
      <c r="A8" s="3" t="s">
        <v>89</v>
      </c>
      <c r="B8" s="12">
        <f>SalePrice-Price</f>
      </c>
      <c r="C8" s="5" t="s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50" customWidth="1"/>
  </cols>
  <sheetData>
    <row r="1" ht="24" customHeight="1" spans="1:3" x14ac:dyDescent="0.25">
      <c r="A1" s="1" t="s">
        <v>91</v>
      </c>
      <c r="B1" s="1"/>
      <c r="C1" s="1"/>
    </row>
    <row r="2" ht="24" customHeight="1" spans="1:3" x14ac:dyDescent="0.25">
      <c r="A2" s="2" t="s">
        <v>1</v>
      </c>
      <c r="B2" s="2" t="s">
        <v>2</v>
      </c>
      <c r="C2" s="2" t="s">
        <v>4</v>
      </c>
    </row>
    <row r="3" spans="1:3" x14ac:dyDescent="0.25">
      <c r="A3" s="3" t="s">
        <v>92</v>
      </c>
      <c r="B3" s="12">
        <f>DownPayment+PurchaseCost</f>
      </c>
      <c r="C3" s="5" t="s">
        <v>93</v>
      </c>
    </row>
    <row r="4" spans="1:3" x14ac:dyDescent="0.25">
      <c r="A4" s="3" t="s">
        <v>94</v>
      </c>
      <c r="B4" s="12">
        <f>SUMIFS(年次集計!L:L,年次集計!A:A,"&lt;="&amp;HoldYears)</f>
      </c>
      <c r="C4" s="5" t="s">
        <v>95</v>
      </c>
    </row>
    <row r="5" spans="1:3" x14ac:dyDescent="0.25">
      <c r="A5" s="3" t="s">
        <v>87</v>
      </c>
      <c r="B5" s="12">
        <f>売却精算!B7</f>
      </c>
      <c r="C5" s="5" t="s">
        <v>96</v>
      </c>
    </row>
    <row r="6" spans="1:3" x14ac:dyDescent="0.25">
      <c r="A6" s="3" t="s">
        <v>48</v>
      </c>
      <c r="B6" s="12">
        <f>MovingCost</f>
      </c>
      <c r="C6" s="5" t="s">
        <v>97</v>
      </c>
    </row>
    <row r="7" spans="1:3" x14ac:dyDescent="0.25">
      <c r="A7" s="3" t="s">
        <v>98</v>
      </c>
      <c r="B7" s="13">
        <f>B3+B4-B5+B6</f>
      </c>
      <c r="C7" s="5" t="s">
        <v>99</v>
      </c>
    </row>
    <row r="8" spans="1:3" x14ac:dyDescent="0.25">
      <c r="A8" s="3" t="s">
        <v>100</v>
      </c>
      <c r="B8" s="14">
        <f>HoldYears*12</f>
      </c>
      <c r="C8" s="5" t="s">
        <v>101</v>
      </c>
    </row>
    <row r="9" spans="1:3" x14ac:dyDescent="0.25">
      <c r="A9" s="3" t="s">
        <v>102</v>
      </c>
      <c r="B9" s="13">
        <f>B7/B8</f>
      </c>
      <c r="C9" s="5" t="s">
        <v>103</v>
      </c>
    </row>
    <row r="10" spans="1:3" x14ac:dyDescent="0.25">
      <c r="A10" s="3" t="s">
        <v>104</v>
      </c>
      <c r="B10" s="12">
        <f>CurrentRent*B8</f>
      </c>
      <c r="C10" s="5" t="s">
        <v>105</v>
      </c>
    </row>
    <row r="11" spans="1:3" x14ac:dyDescent="0.25">
      <c r="A11" s="3" t="s">
        <v>106</v>
      </c>
      <c r="B11" s="13">
        <f>B7-B10</f>
      </c>
      <c r="C11" s="5" t="s">
        <v>107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108</v>
      </c>
      <c r="B1" s="1"/>
      <c r="C1" s="1"/>
      <c r="D1" s="1"/>
      <c r="E1" s="1"/>
      <c r="F1" s="1"/>
    </row>
    <row r="2" ht="18" customHeight="1" spans="1:6" x14ac:dyDescent="0.25">
      <c r="A2" s="15" t="s">
        <v>109</v>
      </c>
      <c r="B2" s="15"/>
      <c r="C2" s="15"/>
      <c r="D2" s="15"/>
      <c r="E2" s="15"/>
      <c r="F2" s="15"/>
    </row>
    <row r="4" ht="22" customHeight="1" spans="1:6" x14ac:dyDescent="0.25">
      <c r="A4" s="2" t="s">
        <v>110</v>
      </c>
      <c r="B4" s="16">
        <v>0.7</v>
      </c>
      <c r="C4" s="16">
        <v>0.8</v>
      </c>
      <c r="D4" s="16">
        <v>0.9</v>
      </c>
      <c r="E4" s="16">
        <v>1</v>
      </c>
      <c r="F4" s="16">
        <v>1.1</v>
      </c>
    </row>
    <row r="5" spans="1:6" x14ac:dyDescent="0.25">
      <c r="A5" s="17">
        <v>3</v>
      </c>
      <c r="B5" s="12">
        <f>(F14-Price*B$4*(1-SaleFeeRate))/(A5*12)</f>
      </c>
      <c r="C5" s="12">
        <f>(F14-Price*C$4*(1-SaleFeeRate))/(A5*12)</f>
      </c>
      <c r="D5" s="12">
        <f>(F14-Price*D$4*(1-SaleFeeRate))/(A5*12)</f>
      </c>
      <c r="E5" s="12">
        <f>(F14-Price*E$4*(1-SaleFeeRate))/(A5*12)</f>
      </c>
      <c r="F5" s="12">
        <f>(F14-Price*F$4*(1-SaleFeeRate))/(A5*12)</f>
      </c>
    </row>
    <row r="6" spans="1:6" x14ac:dyDescent="0.25">
      <c r="A6" s="17">
        <v>5</v>
      </c>
      <c r="B6" s="12">
        <f>(F15-Price*B$4*(1-SaleFeeRate))/(A6*12)</f>
      </c>
      <c r="C6" s="12">
        <f>(F15-Price*C$4*(1-SaleFeeRate))/(A6*12)</f>
      </c>
      <c r="D6" s="12">
        <f>(F15-Price*D$4*(1-SaleFeeRate))/(A6*12)</f>
      </c>
      <c r="E6" s="12">
        <f>(F15-Price*E$4*(1-SaleFeeRate))/(A6*12)</f>
      </c>
      <c r="F6" s="12">
        <f>(F15-Price*F$4*(1-SaleFeeRate))/(A6*12)</f>
      </c>
    </row>
    <row r="7" spans="1:6" x14ac:dyDescent="0.25">
      <c r="A7" s="17">
        <v>7</v>
      </c>
      <c r="B7" s="12">
        <f>(F16-Price*B$4*(1-SaleFeeRate))/(A7*12)</f>
      </c>
      <c r="C7" s="12">
        <f>(F16-Price*C$4*(1-SaleFeeRate))/(A7*12)</f>
      </c>
      <c r="D7" s="12">
        <f>(F16-Price*D$4*(1-SaleFeeRate))/(A7*12)</f>
      </c>
      <c r="E7" s="12">
        <f>(F16-Price*E$4*(1-SaleFeeRate))/(A7*12)</f>
      </c>
      <c r="F7" s="12">
        <f>(F16-Price*F$4*(1-SaleFeeRate))/(A7*12)</f>
      </c>
    </row>
    <row r="8" spans="1:6" x14ac:dyDescent="0.25">
      <c r="A8" s="17">
        <v>10</v>
      </c>
      <c r="B8" s="12">
        <f>(F17-Price*B$4*(1-SaleFeeRate))/(A8*12)</f>
      </c>
      <c r="C8" s="12">
        <f>(F17-Price*C$4*(1-SaleFeeRate))/(A8*12)</f>
      </c>
      <c r="D8" s="12">
        <f>(F17-Price*D$4*(1-SaleFeeRate))/(A8*12)</f>
      </c>
      <c r="E8" s="12">
        <f>(F17-Price*E$4*(1-SaleFeeRate))/(A8*12)</f>
      </c>
      <c r="F8" s="12">
        <f>(F17-Price*F$4*(1-SaleFeeRate))/(A8*12)</f>
      </c>
    </row>
    <row r="9" spans="1:6" x14ac:dyDescent="0.25">
      <c r="A9" s="17">
        <v>15</v>
      </c>
      <c r="B9" s="12">
        <f>(F18-Price*B$4*(1-SaleFeeRate))/(A9*12)</f>
      </c>
      <c r="C9" s="12">
        <f>(F18-Price*C$4*(1-SaleFeeRate))/(A9*12)</f>
      </c>
      <c r="D9" s="12">
        <f>(F18-Price*D$4*(1-SaleFeeRate))/(A9*12)</f>
      </c>
      <c r="E9" s="12">
        <f>(F18-Price*E$4*(1-SaleFeeRate))/(A9*12)</f>
      </c>
      <c r="F9" s="12">
        <f>(F18-Price*F$4*(1-SaleFeeRate))/(A9*12)</f>
      </c>
    </row>
    <row r="12" spans="1:1" x14ac:dyDescent="0.25">
      <c r="A12" s="18" t="s">
        <v>111</v>
      </c>
    </row>
    <row r="13" spans="1:6" x14ac:dyDescent="0.25">
      <c r="A13" s="2" t="s">
        <v>40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116</v>
      </c>
    </row>
    <row r="14" spans="1:6" x14ac:dyDescent="0.25">
      <c r="A14">
        <f>A5</f>
      </c>
      <c r="B14" s="10">
        <f>-PMT(InterestRate/12,LoanYears*12,LoanAmount)</f>
      </c>
      <c r="C14" s="10">
        <f>A14*12</f>
      </c>
      <c r="D14" s="10">
        <f>LoanAmount*(1+InterestRate/12)^C14-B14*((1+InterestRate/12)^C14-1)/(InterestRate/12)</f>
      </c>
      <c r="E14" s="10">
        <f>B14*C14+((MgmtFee+ReserveFee+ParkingFee)*12+PropertyTax+FireInsurance+OtherMaintenance)*A14-LoanDeduction*MIN(A14,LoanYears)</f>
      </c>
      <c r="F14" s="10">
        <f>(DownPayment+PurchaseCost)+E14+SaleOtherCost+D14+MovingCost</f>
      </c>
    </row>
    <row r="15" spans="1:6" x14ac:dyDescent="0.25">
      <c r="A15">
        <f>A6</f>
      </c>
      <c r="B15" s="10">
        <f>-PMT(InterestRate/12,LoanYears*12,LoanAmount)</f>
      </c>
      <c r="C15" s="10">
        <f>A15*12</f>
      </c>
      <c r="D15" s="10">
        <f>LoanAmount*(1+InterestRate/12)^C15-B15*((1+InterestRate/12)^C15-1)/(InterestRate/12)</f>
      </c>
      <c r="E15" s="10">
        <f>B15*C15+((MgmtFee+ReserveFee+ParkingFee)*12+PropertyTax+FireInsurance+OtherMaintenance)*A15-LoanDeduction*MIN(A15,LoanYears)</f>
      </c>
      <c r="F15" s="10">
        <f>(DownPayment+PurchaseCost)+E15+SaleOtherCost+D15+MovingCost</f>
      </c>
    </row>
    <row r="16" spans="1:6" x14ac:dyDescent="0.25">
      <c r="A16">
        <f>A7</f>
      </c>
      <c r="B16" s="10">
        <f>-PMT(InterestRate/12,LoanYears*12,LoanAmount)</f>
      </c>
      <c r="C16" s="10">
        <f>A16*12</f>
      </c>
      <c r="D16" s="10">
        <f>LoanAmount*(1+InterestRate/12)^C16-B16*((1+InterestRate/12)^C16-1)/(InterestRate/12)</f>
      </c>
      <c r="E16" s="10">
        <f>B16*C16+((MgmtFee+ReserveFee+ParkingFee)*12+PropertyTax+FireInsurance+OtherMaintenance)*A16-LoanDeduction*MIN(A16,LoanYears)</f>
      </c>
      <c r="F16" s="10">
        <f>(DownPayment+PurchaseCost)+E16+SaleOtherCost+D16+MovingCost</f>
      </c>
    </row>
    <row r="17" spans="1:6" x14ac:dyDescent="0.25">
      <c r="A17">
        <f>A8</f>
      </c>
      <c r="B17" s="10">
        <f>-PMT(InterestRate/12,LoanYears*12,LoanAmount)</f>
      </c>
      <c r="C17" s="10">
        <f>A17*12</f>
      </c>
      <c r="D17" s="10">
        <f>LoanAmount*(1+InterestRate/12)^C17-B17*((1+InterestRate/12)^C17-1)/(InterestRate/12)</f>
      </c>
      <c r="E17" s="10">
        <f>B17*C17+((MgmtFee+ReserveFee+ParkingFee)*12+PropertyTax+FireInsurance+OtherMaintenance)*A17-LoanDeduction*MIN(A17,LoanYears)</f>
      </c>
      <c r="F17" s="10">
        <f>(DownPayment+PurchaseCost)+E17+SaleOtherCost+D17+MovingCost</f>
      </c>
    </row>
    <row r="18" spans="1:6" x14ac:dyDescent="0.25">
      <c r="A18">
        <f>A9</f>
      </c>
      <c r="B18" s="10">
        <f>-PMT(InterestRate/12,LoanYears*12,LoanAmount)</f>
      </c>
      <c r="C18" s="10">
        <f>A18*12</f>
      </c>
      <c r="D18" s="10">
        <f>LoanAmount*(1+InterestRate/12)^C18-B18*((1+InterestRate/12)^C18-1)/(InterestRate/12)</f>
      </c>
      <c r="E18" s="10">
        <f>B18*C18+((MgmtFee+ReserveFee+ParkingFee)*12+PropertyTax+FireInsurance+OtherMaintenance)*A18-LoanDeduction*MIN(A18,LoanYears)</f>
      </c>
      <c r="F18" s="10">
        <f>(DownPayment+PurchaseCost)+E18+SaleOtherCost+D18+MovingCost</f>
      </c>
    </row>
  </sheetData>
  <mergeCells count="2">
    <mergeCell ref="A1:F1"/>
    <mergeCell ref="A2:F2"/>
  </mergeCells>
  <conditionalFormatting sqref="B5:F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F9">
    <cfRule type="expression" dxfId="0" priority="2">
      <formula>B5&lt;CurrentRent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前提入力</vt:lpstr>
      <vt:lpstr>ローン返済表</vt:lpstr>
      <vt:lpstr>年次集計</vt:lpstr>
      <vt:lpstr>売却精算</vt:lpstr>
      <vt:lpstr>実質家賃結果</vt:lpstr>
      <vt:lpstr>シナリオ比較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dc:title/>
  <dc:subject/>
  <dc:description/>
  <cp:keywords/>
  <cp:category/>
  <cp:lastModifiedBy>Unknown</cp:lastModifiedBy>
  <dcterms:created xsi:type="dcterms:W3CDTF">2026-06-24T23:46:04Z</dcterms:created>
  <dcterms:modified xsi:type="dcterms:W3CDTF">2026-06-24T23:46:04Z</dcterms:modified>
</cp:coreProperties>
</file>